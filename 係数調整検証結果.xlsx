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d3O05\Desktop\"/>
    </mc:Choice>
  </mc:AlternateContent>
  <xr:revisionPtr revIDLastSave="0" documentId="13_ncr:1_{E84F13F6-9D40-4452-90F8-EE6E3A4F677B}" xr6:coauthVersionLast="47" xr6:coauthVersionMax="47" xr10:uidLastSave="{00000000-0000-0000-0000-000000000000}"/>
  <bookViews>
    <workbookView xWindow="14220" yWindow="0" windowWidth="14580" windowHeight="11295" xr2:uid="{B4BFBF0D-01CD-425B-87EB-825FC3821968}"/>
  </bookViews>
  <sheets>
    <sheet name="検証-3" sheetId="7" r:id="rId1"/>
    <sheet name="検証-2" sheetId="6" r:id="rId2"/>
    <sheet name="検証-1" sheetId="1" r:id="rId3"/>
    <sheet name="Template" sheetId="5" r:id="rId4"/>
  </sheets>
  <definedNames>
    <definedName name="_xlnm._FilterDatabase" localSheetId="2" hidden="1">'検証-1'!$A$11:$M$48</definedName>
    <definedName name="_xlnm._FilterDatabase" localSheetId="1" hidden="1">'検証-2'!$A$11:$M$48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8" i="7" l="1"/>
  <c r="M48" i="7" s="1"/>
  <c r="L47" i="7"/>
  <c r="M47" i="7" s="1"/>
  <c r="L46" i="7"/>
  <c r="M46" i="7" s="1"/>
  <c r="L45" i="7"/>
  <c r="M45" i="7" s="1"/>
  <c r="L44" i="7"/>
  <c r="M44" i="7" s="1"/>
  <c r="L43" i="7"/>
  <c r="M43" i="7" s="1"/>
  <c r="L42" i="7"/>
  <c r="M42" i="7" s="1"/>
  <c r="L41" i="7"/>
  <c r="M41" i="7" s="1"/>
  <c r="L40" i="7"/>
  <c r="M40" i="7" s="1"/>
  <c r="L39" i="7"/>
  <c r="M39" i="7" s="1"/>
  <c r="L38" i="7"/>
  <c r="M38" i="7" s="1"/>
  <c r="L37" i="7"/>
  <c r="M37" i="7" s="1"/>
  <c r="L36" i="7"/>
  <c r="M36" i="7" s="1"/>
  <c r="L35" i="7"/>
  <c r="M35" i="7" s="1"/>
  <c r="L34" i="7"/>
  <c r="M34" i="7" s="1"/>
  <c r="L33" i="7"/>
  <c r="M33" i="7" s="1"/>
  <c r="L32" i="7"/>
  <c r="M32" i="7" s="1"/>
  <c r="L31" i="7"/>
  <c r="M31" i="7" s="1"/>
  <c r="L30" i="7"/>
  <c r="M30" i="7" s="1"/>
  <c r="L29" i="7"/>
  <c r="M29" i="7" s="1"/>
  <c r="L28" i="7"/>
  <c r="M28" i="7" s="1"/>
  <c r="L27" i="7"/>
  <c r="M27" i="7" s="1"/>
  <c r="L26" i="7"/>
  <c r="M26" i="7" s="1"/>
  <c r="L25" i="7"/>
  <c r="M25" i="7" s="1"/>
  <c r="L24" i="7"/>
  <c r="M24" i="7" s="1"/>
  <c r="L23" i="7"/>
  <c r="M23" i="7" s="1"/>
  <c r="L22" i="7"/>
  <c r="M22" i="7" s="1"/>
  <c r="L21" i="7"/>
  <c r="M21" i="7" s="1"/>
  <c r="L20" i="7"/>
  <c r="M20" i="7" s="1"/>
  <c r="L19" i="7"/>
  <c r="M19" i="7" s="1"/>
  <c r="M18" i="7"/>
  <c r="L18" i="7"/>
  <c r="L17" i="7"/>
  <c r="M17" i="7" s="1"/>
  <c r="M16" i="7"/>
  <c r="L16" i="7"/>
  <c r="L15" i="7"/>
  <c r="M15" i="7" s="1"/>
  <c r="M14" i="7"/>
  <c r="L14" i="7"/>
  <c r="L13" i="7"/>
  <c r="M13" i="7" s="1"/>
  <c r="K9" i="7"/>
  <c r="K10" i="7" s="1"/>
  <c r="J9" i="7"/>
  <c r="J10" i="7" s="1"/>
  <c r="I9" i="7"/>
  <c r="I10" i="7" s="1"/>
  <c r="H9" i="7"/>
  <c r="H10" i="7" s="1"/>
  <c r="G9" i="7"/>
  <c r="G10" i="7" s="1"/>
  <c r="F9" i="7"/>
  <c r="F10" i="7" s="1"/>
  <c r="E9" i="7"/>
  <c r="E10" i="7" s="1"/>
  <c r="D9" i="7"/>
  <c r="D10" i="7" s="1"/>
  <c r="I39" i="6"/>
  <c r="I35" i="6"/>
  <c r="M25" i="6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K10" i="5"/>
  <c r="K10" i="1"/>
  <c r="I24" i="6"/>
  <c r="L48" i="6"/>
  <c r="M48" i="6" s="1"/>
  <c r="L47" i="6"/>
  <c r="M47" i="6" s="1"/>
  <c r="L46" i="6"/>
  <c r="M46" i="6" s="1"/>
  <c r="L45" i="6"/>
  <c r="M45" i="6" s="1"/>
  <c r="L44" i="6"/>
  <c r="M44" i="6" s="1"/>
  <c r="L43" i="6"/>
  <c r="M43" i="6" s="1"/>
  <c r="L42" i="6"/>
  <c r="M42" i="6" s="1"/>
  <c r="L41" i="6"/>
  <c r="M41" i="6" s="1"/>
  <c r="L40" i="6"/>
  <c r="M40" i="6" s="1"/>
  <c r="L39" i="6"/>
  <c r="M39" i="6" s="1"/>
  <c r="L38" i="6"/>
  <c r="M38" i="6" s="1"/>
  <c r="L37" i="6"/>
  <c r="M37" i="6" s="1"/>
  <c r="L36" i="6"/>
  <c r="M36" i="6" s="1"/>
  <c r="L35" i="6"/>
  <c r="M35" i="6" s="1"/>
  <c r="L34" i="6"/>
  <c r="M34" i="6" s="1"/>
  <c r="L33" i="6"/>
  <c r="M33" i="6" s="1"/>
  <c r="L32" i="6"/>
  <c r="M32" i="6" s="1"/>
  <c r="L31" i="6"/>
  <c r="M31" i="6" s="1"/>
  <c r="L30" i="6"/>
  <c r="M30" i="6" s="1"/>
  <c r="L29" i="6"/>
  <c r="M29" i="6" s="1"/>
  <c r="L28" i="6"/>
  <c r="M28" i="6" s="1"/>
  <c r="L27" i="6"/>
  <c r="M27" i="6" s="1"/>
  <c r="L26" i="6"/>
  <c r="M26" i="6" s="1"/>
  <c r="L25" i="6"/>
  <c r="L24" i="6"/>
  <c r="M24" i="6" s="1"/>
  <c r="L23" i="6"/>
  <c r="M23" i="6" s="1"/>
  <c r="L22" i="6"/>
  <c r="M22" i="6" s="1"/>
  <c r="L21" i="6"/>
  <c r="M21" i="6" s="1"/>
  <c r="L20" i="6"/>
  <c r="M20" i="6" s="1"/>
  <c r="L19" i="6"/>
  <c r="M19" i="6" s="1"/>
  <c r="L18" i="6"/>
  <c r="M18" i="6" s="1"/>
  <c r="L17" i="6"/>
  <c r="M17" i="6" s="1"/>
  <c r="L16" i="6"/>
  <c r="M16" i="6" s="1"/>
  <c r="L15" i="6"/>
  <c r="M15" i="6" s="1"/>
  <c r="L14" i="6"/>
  <c r="M14" i="6" s="1"/>
  <c r="L13" i="6"/>
  <c r="M13" i="6" s="1"/>
  <c r="K9" i="6"/>
  <c r="K10" i="6" s="1"/>
  <c r="J9" i="6"/>
  <c r="J10" i="6" s="1"/>
  <c r="H9" i="6"/>
  <c r="H10" i="6" s="1"/>
  <c r="G9" i="6"/>
  <c r="G10" i="6" s="1"/>
  <c r="F9" i="6"/>
  <c r="F10" i="6" s="1"/>
  <c r="E9" i="6"/>
  <c r="E10" i="6" s="1"/>
  <c r="D9" i="6"/>
  <c r="D10" i="6" s="1"/>
  <c r="I43" i="1"/>
  <c r="I26" i="1"/>
  <c r="L26" i="1" s="1"/>
  <c r="I17" i="1"/>
  <c r="L17" i="1"/>
  <c r="I16" i="1"/>
  <c r="J10" i="5"/>
  <c r="I10" i="5"/>
  <c r="H10" i="5"/>
  <c r="G10" i="5"/>
  <c r="F10" i="5"/>
  <c r="E10" i="5"/>
  <c r="D10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K9" i="5"/>
  <c r="J9" i="5"/>
  <c r="I9" i="5"/>
  <c r="H9" i="5"/>
  <c r="G9" i="5"/>
  <c r="F9" i="5"/>
  <c r="E9" i="5"/>
  <c r="D9" i="5"/>
  <c r="E9" i="1"/>
  <c r="E10" i="1" s="1"/>
  <c r="F9" i="1"/>
  <c r="F10" i="1" s="1"/>
  <c r="G9" i="1"/>
  <c r="G10" i="1" s="1"/>
  <c r="H9" i="1"/>
  <c r="H10" i="1" s="1"/>
  <c r="J9" i="1"/>
  <c r="J10" i="1" s="1"/>
  <c r="K9" i="1"/>
  <c r="D9" i="1"/>
  <c r="D10" i="1" s="1"/>
  <c r="L47" i="1"/>
  <c r="L48" i="1"/>
  <c r="L21" i="1"/>
  <c r="L22" i="1"/>
  <c r="L23" i="1"/>
  <c r="L24" i="1"/>
  <c r="L25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14" i="1"/>
  <c r="L15" i="1"/>
  <c r="L16" i="1"/>
  <c r="L18" i="1"/>
  <c r="L19" i="1"/>
  <c r="L20" i="1"/>
  <c r="L13" i="1"/>
  <c r="I9" i="6" l="1"/>
  <c r="I10" i="6" s="1"/>
  <c r="I9" i="1"/>
  <c r="I10" i="1" s="1"/>
</calcChain>
</file>

<file path=xl/sharedStrings.xml><?xml version="1.0" encoding="utf-8"?>
<sst xmlns="http://schemas.openxmlformats.org/spreadsheetml/2006/main" count="317" uniqueCount="33">
  <si>
    <t>単勝</t>
    <rPh sb="0" eb="2">
      <t>タンショウ</t>
    </rPh>
    <phoneticPr fontId="1"/>
  </si>
  <si>
    <t>複勝</t>
    <rPh sb="0" eb="2">
      <t>フクショウ</t>
    </rPh>
    <phoneticPr fontId="1"/>
  </si>
  <si>
    <t>枠連</t>
    <rPh sb="0" eb="2">
      <t>ワクレン</t>
    </rPh>
    <phoneticPr fontId="1"/>
  </si>
  <si>
    <t>馬連</t>
    <rPh sb="0" eb="2">
      <t>ウマレン</t>
    </rPh>
    <phoneticPr fontId="1"/>
  </si>
  <si>
    <t>馬単</t>
    <rPh sb="0" eb="2">
      <t>ウマタン</t>
    </rPh>
    <phoneticPr fontId="1"/>
  </si>
  <si>
    <t>ワイド</t>
    <phoneticPr fontId="1"/>
  </si>
  <si>
    <t>３連単</t>
    <rPh sb="1" eb="3">
      <t>レンタン</t>
    </rPh>
    <phoneticPr fontId="1"/>
  </si>
  <si>
    <t>３連複</t>
    <rPh sb="1" eb="3">
      <t>レンプク</t>
    </rPh>
    <phoneticPr fontId="1"/>
  </si>
  <si>
    <t>仮想購入結果</t>
    <rPh sb="0" eb="2">
      <t>カソウ</t>
    </rPh>
    <rPh sb="2" eb="4">
      <t>コウニュウ</t>
    </rPh>
    <rPh sb="4" eb="6">
      <t>ケッカ</t>
    </rPh>
    <phoneticPr fontId="1"/>
  </si>
  <si>
    <t>レース
番号</t>
    <rPh sb="4" eb="6">
      <t>バンゴウ</t>
    </rPh>
    <phoneticPr fontId="1"/>
  </si>
  <si>
    <t>場名</t>
    <rPh sb="0" eb="1">
      <t>バ</t>
    </rPh>
    <rPh sb="1" eb="2">
      <t>メイ</t>
    </rPh>
    <phoneticPr fontId="1"/>
  </si>
  <si>
    <t>判定
結果</t>
    <rPh sb="0" eb="2">
      <t>ハンテイ</t>
    </rPh>
    <rPh sb="3" eb="5">
      <t>ケッカ</t>
    </rPh>
    <phoneticPr fontId="1"/>
  </si>
  <si>
    <r>
      <t>・単勝と複勝は、推奨１位馬を</t>
    </r>
    <r>
      <rPr>
        <b/>
        <sz val="11"/>
        <color theme="1"/>
        <rFont val="游ゴシック"/>
        <family val="3"/>
        <charset val="128"/>
        <scheme val="minor"/>
      </rPr>
      <t>１点購入</t>
    </r>
    <rPh sb="1" eb="3">
      <t>タンショウ</t>
    </rPh>
    <rPh sb="4" eb="6">
      <t>フクショウ</t>
    </rPh>
    <rPh sb="8" eb="10">
      <t>スイショウ</t>
    </rPh>
    <rPh sb="11" eb="12">
      <t>イ</t>
    </rPh>
    <rPh sb="12" eb="13">
      <t>バ</t>
    </rPh>
    <rPh sb="15" eb="16">
      <t>テン</t>
    </rPh>
    <rPh sb="16" eb="18">
      <t>コウニュウ</t>
    </rPh>
    <phoneticPr fontId="1"/>
  </si>
  <si>
    <r>
      <t>・枠連と馬連は、推奨１位馬から推奨２～４位への</t>
    </r>
    <r>
      <rPr>
        <b/>
        <sz val="11"/>
        <color theme="1"/>
        <rFont val="游ゴシック"/>
        <family val="3"/>
        <charset val="128"/>
        <scheme val="minor"/>
      </rPr>
      <t>３点購入</t>
    </r>
    <rPh sb="1" eb="3">
      <t>ワクレン</t>
    </rPh>
    <rPh sb="4" eb="6">
      <t>ウマレン</t>
    </rPh>
    <rPh sb="8" eb="10">
      <t>スイショウ</t>
    </rPh>
    <rPh sb="11" eb="12">
      <t>イ</t>
    </rPh>
    <rPh sb="12" eb="13">
      <t>バ</t>
    </rPh>
    <rPh sb="15" eb="17">
      <t>スイショウ</t>
    </rPh>
    <rPh sb="20" eb="21">
      <t>イ</t>
    </rPh>
    <rPh sb="24" eb="25">
      <t>テン</t>
    </rPh>
    <rPh sb="25" eb="27">
      <t>コウニュウ</t>
    </rPh>
    <phoneticPr fontId="1"/>
  </si>
  <si>
    <r>
      <t>・馬単は、推奨１位馬から推奨２～４位への</t>
    </r>
    <r>
      <rPr>
        <b/>
        <sz val="11"/>
        <color theme="1"/>
        <rFont val="游ゴシック"/>
        <family val="3"/>
        <charset val="128"/>
        <scheme val="minor"/>
      </rPr>
      <t>折り返しを含む６点購入</t>
    </r>
    <rPh sb="1" eb="3">
      <t>ウマタン</t>
    </rPh>
    <rPh sb="5" eb="7">
      <t>スイショウ</t>
    </rPh>
    <rPh sb="8" eb="9">
      <t>イ</t>
    </rPh>
    <rPh sb="9" eb="10">
      <t>バ</t>
    </rPh>
    <rPh sb="12" eb="14">
      <t>スイショウ</t>
    </rPh>
    <rPh sb="17" eb="18">
      <t>イ</t>
    </rPh>
    <rPh sb="20" eb="21">
      <t>オ</t>
    </rPh>
    <rPh sb="22" eb="23">
      <t>カエ</t>
    </rPh>
    <rPh sb="25" eb="26">
      <t>フク</t>
    </rPh>
    <rPh sb="28" eb="29">
      <t>テン</t>
    </rPh>
    <rPh sb="29" eb="31">
      <t>コウニュウ</t>
    </rPh>
    <phoneticPr fontId="1"/>
  </si>
  <si>
    <r>
      <t>・ワイドは、推奨１位馬から推奨２～３位への</t>
    </r>
    <r>
      <rPr>
        <b/>
        <sz val="11"/>
        <color theme="1"/>
        <rFont val="游ゴシック"/>
        <family val="3"/>
        <charset val="128"/>
        <scheme val="minor"/>
      </rPr>
      <t>２点購入</t>
    </r>
    <rPh sb="6" eb="8">
      <t>スイショウ</t>
    </rPh>
    <rPh sb="9" eb="10">
      <t>イ</t>
    </rPh>
    <rPh sb="10" eb="11">
      <t>バ</t>
    </rPh>
    <rPh sb="13" eb="15">
      <t>スイショウ</t>
    </rPh>
    <rPh sb="18" eb="19">
      <t>イ</t>
    </rPh>
    <rPh sb="22" eb="23">
      <t>テン</t>
    </rPh>
    <rPh sb="23" eb="25">
      <t>コウニュウ</t>
    </rPh>
    <phoneticPr fontId="1"/>
  </si>
  <si>
    <r>
      <t>・３連複は、推奨１位馬から推奨２～４位への</t>
    </r>
    <r>
      <rPr>
        <b/>
        <sz val="11"/>
        <color theme="1"/>
        <rFont val="游ゴシック"/>
        <family val="3"/>
        <charset val="128"/>
        <scheme val="minor"/>
      </rPr>
      <t>３点購入</t>
    </r>
    <rPh sb="2" eb="4">
      <t>レンプク</t>
    </rPh>
    <rPh sb="6" eb="8">
      <t>スイショウ</t>
    </rPh>
    <rPh sb="9" eb="10">
      <t>イ</t>
    </rPh>
    <rPh sb="10" eb="11">
      <t>バ</t>
    </rPh>
    <rPh sb="13" eb="15">
      <t>スイショウ</t>
    </rPh>
    <rPh sb="18" eb="19">
      <t>イ</t>
    </rPh>
    <rPh sb="22" eb="23">
      <t>テン</t>
    </rPh>
    <rPh sb="23" eb="25">
      <t>コウニュウ</t>
    </rPh>
    <phoneticPr fontId="1"/>
  </si>
  <si>
    <t>回収金額</t>
    <rPh sb="0" eb="2">
      <t>カイシュウ</t>
    </rPh>
    <rPh sb="2" eb="4">
      <t>キンガク</t>
    </rPh>
    <phoneticPr fontId="1"/>
  </si>
  <si>
    <t>回収率</t>
    <rPh sb="0" eb="3">
      <t>カイシュウリツ</t>
    </rPh>
    <phoneticPr fontId="1"/>
  </si>
  <si>
    <t>中山</t>
  </si>
  <si>
    <t>阪神</t>
  </si>
  <si>
    <t>中京</t>
  </si>
  <si>
    <t>☆係数調整検証結果</t>
    <phoneticPr fontId="1"/>
  </si>
  <si>
    <t>合計回収金額</t>
    <rPh sb="0" eb="2">
      <t>ゴウケイ</t>
    </rPh>
    <rPh sb="2" eb="6">
      <t>カイシュウキンガク</t>
    </rPh>
    <phoneticPr fontId="1"/>
  </si>
  <si>
    <t>合計回収率</t>
    <rPh sb="0" eb="5">
      <t>ゴウケイカイシュウリツ</t>
    </rPh>
    <phoneticPr fontId="1"/>
  </si>
  <si>
    <t>※仮想購入のルール（１点あたり￥100)</t>
    <rPh sb="1" eb="3">
      <t>カソウ</t>
    </rPh>
    <rPh sb="3" eb="5">
      <t>コウニュウ</t>
    </rPh>
    <rPh sb="11" eb="12">
      <t>テン</t>
    </rPh>
    <phoneticPr fontId="1"/>
  </si>
  <si>
    <t>中穴</t>
  </si>
  <si>
    <t>本命</t>
  </si>
  <si>
    <t>見送り</t>
  </si>
  <si>
    <t>中穴</t>
    <phoneticPr fontId="1"/>
  </si>
  <si>
    <t>検証開催日</t>
    <rPh sb="0" eb="2">
      <t>ケンショウ</t>
    </rPh>
    <rPh sb="2" eb="5">
      <t>カイサイビ</t>
    </rPh>
    <phoneticPr fontId="1"/>
  </si>
  <si>
    <r>
      <t>・３連単は、推奨１位馬から推奨２～４位への</t>
    </r>
    <r>
      <rPr>
        <b/>
        <sz val="11"/>
        <color theme="1"/>
        <rFont val="游ゴシック"/>
        <family val="3"/>
        <charset val="128"/>
        <scheme val="minor"/>
      </rPr>
      <t>マルチ買いで18点購入</t>
    </r>
    <rPh sb="2" eb="4">
      <t>レンタン</t>
    </rPh>
    <rPh sb="6" eb="8">
      <t>スイショウ</t>
    </rPh>
    <rPh sb="9" eb="10">
      <t>イ</t>
    </rPh>
    <rPh sb="10" eb="11">
      <t>バ</t>
    </rPh>
    <rPh sb="13" eb="15">
      <t>スイショウ</t>
    </rPh>
    <rPh sb="18" eb="19">
      <t>イ</t>
    </rPh>
    <rPh sb="24" eb="25">
      <t>カ</t>
    </rPh>
    <rPh sb="29" eb="30">
      <t>テン</t>
    </rPh>
    <rPh sb="30" eb="32">
      <t>コウニュウ</t>
    </rPh>
    <phoneticPr fontId="1"/>
  </si>
  <si>
    <t>係数修正：1.25</t>
    <rPh sb="0" eb="2">
      <t>ケイスウ</t>
    </rPh>
    <rPh sb="2" eb="4">
      <t>シュウセイ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</si>
</sst>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9" formatCode="&quot;¥&quot;#,##0;[Red]&quot;¥&quot;#,##0"/>
    <numFmt numFmtId="180" formatCode="0&quot;R&quot;"/>
    <numFmt numFmtId="181" formatCode="0.0%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2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0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" xfId="0" applyBorder="1" applyAlignment="1">
      <alignment horizontal="center" vertical="center"/>
    </xf>
    <xf numFmtId="179" fontId="0" fillId="0" borderId="1" xfId="0" applyNumberFormat="1" applyBorder="1">
      <alignment vertical="center"/>
    </xf>
    <xf numFmtId="181" fontId="0" fillId="0" borderId="1" xfId="0" applyNumberFormat="1" applyBorder="1">
      <alignment vertical="center"/>
    </xf>
    <xf numFmtId="179" fontId="0" fillId="0" borderId="10" xfId="0" applyNumberFormat="1" applyBorder="1">
      <alignment vertical="center"/>
    </xf>
    <xf numFmtId="181" fontId="0" fillId="0" borderId="10" xfId="0" applyNumberFormat="1" applyBorder="1">
      <alignment vertical="center"/>
    </xf>
    <xf numFmtId="0" fontId="0" fillId="0" borderId="10" xfId="0" applyBorder="1" applyAlignment="1">
      <alignment horizontal="center" vertical="center"/>
    </xf>
    <xf numFmtId="180" fontId="0" fillId="0" borderId="10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79" fontId="0" fillId="0" borderId="11" xfId="0" applyNumberFormat="1" applyBorder="1">
      <alignment vertical="center"/>
    </xf>
    <xf numFmtId="179" fontId="0" fillId="0" borderId="12" xfId="0" applyNumberFormat="1" applyBorder="1">
      <alignment vertical="center"/>
    </xf>
    <xf numFmtId="179" fontId="0" fillId="0" borderId="13" xfId="0" applyNumberFormat="1" applyBorder="1">
      <alignment vertical="center"/>
    </xf>
    <xf numFmtId="181" fontId="0" fillId="0" borderId="14" xfId="0" applyNumberFormat="1" applyBorder="1">
      <alignment vertical="center"/>
    </xf>
    <xf numFmtId="181" fontId="0" fillId="0" borderId="15" xfId="0" applyNumberFormat="1" applyBorder="1">
      <alignment vertical="center"/>
    </xf>
    <xf numFmtId="181" fontId="0" fillId="0" borderId="16" xfId="0" applyNumberFormat="1" applyBorder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56" fontId="0" fillId="0" borderId="0" xfId="0" applyNumberFormat="1" applyAlignment="1">
      <alignment horizontal="center" vertical="center"/>
    </xf>
  </cellXfs>
  <cellStyles count="1">
    <cellStyle name="標準" xfId="0" builtinId="0"/>
  </cellStyles>
  <dxfs count="30">
    <dxf>
      <font>
        <color rgb="FF0070C0"/>
      </font>
    </dxf>
    <dxf>
      <font>
        <b/>
        <i val="0"/>
        <color rgb="FFFF0000"/>
      </font>
    </dxf>
    <dxf>
      <font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  <fill>
        <patternFill>
          <bgColor theme="8" tint="0.79998168889431442"/>
        </patternFill>
      </fill>
    </dxf>
    <dxf>
      <font>
        <b/>
        <i val="0"/>
        <color rgb="FFC00000"/>
      </font>
      <fill>
        <patternFill>
          <bgColor theme="7" tint="0.79998168889431442"/>
        </patternFill>
      </fill>
    </dxf>
    <dxf>
      <font>
        <b/>
        <i val="0"/>
        <color rgb="FF002060"/>
      </font>
      <fill>
        <patternFill>
          <bgColor rgb="FFCCCCFF"/>
        </patternFill>
      </fill>
    </dxf>
    <dxf>
      <font>
        <b/>
        <i val="0"/>
        <color theme="0" tint="-0.24994659260841701"/>
      </font>
      <fill>
        <patternFill>
          <bgColor theme="0" tint="-4.9989318521683403E-2"/>
        </patternFill>
      </fill>
    </dxf>
    <dxf>
      <font>
        <color rgb="FF0070C0"/>
      </font>
    </dxf>
    <dxf>
      <font>
        <b/>
        <i val="0"/>
        <color rgb="FFFF0000"/>
      </font>
    </dxf>
    <dxf>
      <font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  <fill>
        <patternFill>
          <bgColor theme="8" tint="0.79998168889431442"/>
        </patternFill>
      </fill>
    </dxf>
    <dxf>
      <font>
        <b/>
        <i val="0"/>
        <color rgb="FFC00000"/>
      </font>
      <fill>
        <patternFill>
          <bgColor theme="7" tint="0.79998168889431442"/>
        </patternFill>
      </fill>
    </dxf>
    <dxf>
      <font>
        <b/>
        <i val="0"/>
        <color rgb="FF002060"/>
      </font>
      <fill>
        <patternFill>
          <bgColor rgb="FFCCCCFF"/>
        </patternFill>
      </fill>
    </dxf>
    <dxf>
      <font>
        <b/>
        <i val="0"/>
        <color theme="0" tint="-0.24994659260841701"/>
      </font>
      <fill>
        <patternFill>
          <bgColor theme="0" tint="-4.9989318521683403E-2"/>
        </patternFill>
      </fill>
    </dxf>
    <dxf>
      <font>
        <b/>
        <i val="0"/>
        <color rgb="FFFF0000"/>
      </font>
    </dxf>
    <dxf>
      <font>
        <color rgb="FF0070C0"/>
      </font>
    </dxf>
    <dxf>
      <font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  <fill>
        <patternFill>
          <bgColor theme="8" tint="0.79998168889431442"/>
        </patternFill>
      </fill>
    </dxf>
    <dxf>
      <font>
        <b/>
        <i val="0"/>
        <color rgb="FFC00000"/>
      </font>
      <fill>
        <patternFill>
          <bgColor theme="7" tint="0.79998168889431442"/>
        </patternFill>
      </fill>
    </dxf>
    <dxf>
      <font>
        <b/>
        <i val="0"/>
        <color rgb="FF002060"/>
      </font>
      <fill>
        <patternFill>
          <bgColor rgb="FFCCCCFF"/>
        </patternFill>
      </fill>
    </dxf>
    <dxf>
      <font>
        <b/>
        <i val="0"/>
        <color theme="0" tint="-0.24994659260841701"/>
      </font>
      <fill>
        <patternFill>
          <bgColor theme="0" tint="-4.9989318521683403E-2"/>
        </patternFill>
      </fill>
    </dxf>
    <dxf>
      <font>
        <b/>
        <i val="0"/>
        <color rgb="FFFF0000"/>
      </font>
    </dxf>
    <dxf>
      <font>
        <color rgb="FF0070C0"/>
      </font>
    </dxf>
    <dxf>
      <font>
        <b/>
        <i val="0"/>
        <color theme="0" tint="-0.24994659260841701"/>
      </font>
      <fill>
        <patternFill>
          <bgColor theme="0" tint="-4.9989318521683403E-2"/>
        </patternFill>
      </fill>
    </dxf>
    <dxf>
      <font>
        <b/>
        <i val="0"/>
        <color rgb="FF002060"/>
      </font>
      <fill>
        <patternFill>
          <bgColor rgb="FFCCCCFF"/>
        </patternFill>
      </fill>
    </dxf>
    <dxf>
      <font>
        <b/>
        <i val="0"/>
        <color rgb="FFC00000"/>
      </font>
      <fill>
        <patternFill>
          <bgColor theme="7" tint="0.79998168889431442"/>
        </patternFill>
      </fill>
    </dxf>
    <dxf>
      <font>
        <b/>
        <i val="0"/>
        <color rgb="FF0070C0"/>
      </font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06816-7A12-41BE-98BC-D985671A4FBC}">
  <dimension ref="A1:M48"/>
  <sheetViews>
    <sheetView tabSelected="1" workbookViewId="0">
      <pane ySplit="12" topLeftCell="A13" activePane="bottomLeft" state="frozen"/>
      <selection pane="bottomLeft" activeCell="C13" sqref="C13"/>
    </sheetView>
  </sheetViews>
  <sheetFormatPr defaultRowHeight="18.75" x14ac:dyDescent="0.4"/>
  <cols>
    <col min="1" max="3" width="8.125" customWidth="1"/>
  </cols>
  <sheetData>
    <row r="1" spans="1:13" ht="19.5" thickTop="1" x14ac:dyDescent="0.4">
      <c r="A1" s="18" t="s">
        <v>22</v>
      </c>
      <c r="B1" s="18"/>
      <c r="C1" s="18"/>
      <c r="D1" s="18"/>
      <c r="F1" s="1" t="s">
        <v>25</v>
      </c>
      <c r="G1" s="2"/>
      <c r="H1" s="2"/>
      <c r="I1" s="2"/>
      <c r="J1" s="2"/>
      <c r="K1" s="2"/>
      <c r="L1" s="3"/>
    </row>
    <row r="2" spans="1:13" x14ac:dyDescent="0.4">
      <c r="A2" s="18"/>
      <c r="B2" s="18"/>
      <c r="C2" s="18"/>
      <c r="D2" s="18"/>
      <c r="F2" s="4" t="s">
        <v>12</v>
      </c>
      <c r="G2" s="5"/>
      <c r="H2" s="5"/>
      <c r="I2" s="5"/>
      <c r="J2" s="5"/>
      <c r="K2" s="5"/>
      <c r="L2" s="6"/>
    </row>
    <row r="3" spans="1:13" x14ac:dyDescent="0.4">
      <c r="F3" s="4" t="s">
        <v>13</v>
      </c>
      <c r="G3" s="5"/>
      <c r="H3" s="5"/>
      <c r="I3" s="5"/>
      <c r="J3" s="5"/>
      <c r="K3" s="5"/>
      <c r="L3" s="6"/>
    </row>
    <row r="4" spans="1:13" x14ac:dyDescent="0.4">
      <c r="A4" t="s">
        <v>30</v>
      </c>
      <c r="F4" s="4" t="s">
        <v>14</v>
      </c>
      <c r="G4" s="5"/>
      <c r="H4" s="5"/>
      <c r="I4" s="5"/>
      <c r="J4" s="5"/>
      <c r="K4" s="5"/>
      <c r="L4" s="6"/>
    </row>
    <row r="5" spans="1:13" x14ac:dyDescent="0.4">
      <c r="B5" s="37">
        <v>46011</v>
      </c>
      <c r="C5" s="37"/>
      <c r="F5" s="4" t="s">
        <v>15</v>
      </c>
      <c r="G5" s="5"/>
      <c r="H5" s="5"/>
      <c r="I5" s="5"/>
      <c r="J5" s="5"/>
      <c r="K5" s="5"/>
      <c r="L5" s="6"/>
    </row>
    <row r="6" spans="1:13" x14ac:dyDescent="0.4">
      <c r="A6" t="s">
        <v>32</v>
      </c>
      <c r="F6" s="4" t="s">
        <v>16</v>
      </c>
      <c r="G6" s="5"/>
      <c r="H6" s="5"/>
      <c r="I6" s="5"/>
      <c r="J6" s="5"/>
      <c r="K6" s="5"/>
      <c r="L6" s="6"/>
    </row>
    <row r="7" spans="1:13" ht="19.5" thickBot="1" x14ac:dyDescent="0.45">
      <c r="F7" s="7" t="s">
        <v>31</v>
      </c>
      <c r="G7" s="8"/>
      <c r="H7" s="8"/>
      <c r="I7" s="8"/>
      <c r="J7" s="8"/>
      <c r="K7" s="8"/>
      <c r="L7" s="9"/>
    </row>
    <row r="8" spans="1:13" ht="9.9499999999999993" customHeight="1" thickTop="1" thickBot="1" x14ac:dyDescent="0.45">
      <c r="F8" s="5"/>
      <c r="G8" s="5"/>
      <c r="H8" s="5"/>
      <c r="I8" s="5"/>
      <c r="J8" s="5"/>
      <c r="K8" s="5"/>
      <c r="L8" s="5"/>
    </row>
    <row r="9" spans="1:13" ht="20.100000000000001" customHeight="1" x14ac:dyDescent="0.4">
      <c r="B9" s="25" t="s">
        <v>23</v>
      </c>
      <c r="C9" s="26"/>
      <c r="D9" s="19">
        <f>SUM(D13:D48)</f>
        <v>0</v>
      </c>
      <c r="E9" s="20">
        <f t="shared" ref="E9:K9" si="0">SUM(E13:E48)</f>
        <v>0</v>
      </c>
      <c r="F9" s="20">
        <f t="shared" si="0"/>
        <v>0</v>
      </c>
      <c r="G9" s="20">
        <f t="shared" si="0"/>
        <v>0</v>
      </c>
      <c r="H9" s="20">
        <f t="shared" si="0"/>
        <v>0</v>
      </c>
      <c r="I9" s="20">
        <f t="shared" si="0"/>
        <v>0</v>
      </c>
      <c r="J9" s="20">
        <f t="shared" si="0"/>
        <v>0</v>
      </c>
      <c r="K9" s="21">
        <f t="shared" si="0"/>
        <v>0</v>
      </c>
      <c r="L9" s="5"/>
    </row>
    <row r="10" spans="1:13" ht="20.100000000000001" customHeight="1" thickBot="1" x14ac:dyDescent="0.45">
      <c r="B10" s="27" t="s">
        <v>24</v>
      </c>
      <c r="C10" s="28"/>
      <c r="D10" s="22">
        <f>D9/3600</f>
        <v>0</v>
      </c>
      <c r="E10" s="23">
        <f>E9/3600</f>
        <v>0</v>
      </c>
      <c r="F10" s="23">
        <f>F9/(3600*3)</f>
        <v>0</v>
      </c>
      <c r="G10" s="23">
        <f>G9/(3600*3)</f>
        <v>0</v>
      </c>
      <c r="H10" s="23">
        <f>H9/(3600*6)</f>
        <v>0</v>
      </c>
      <c r="I10" s="23">
        <f>I9/(3600*2)</f>
        <v>0</v>
      </c>
      <c r="J10" s="23">
        <f>J9/(3600*3)</f>
        <v>0</v>
      </c>
      <c r="K10" s="24">
        <f>K9/(3600*18)</f>
        <v>0</v>
      </c>
    </row>
    <row r="11" spans="1:13" ht="20.100000000000001" customHeight="1" x14ac:dyDescent="0.4">
      <c r="A11" s="29" t="s">
        <v>10</v>
      </c>
      <c r="B11" s="30" t="s">
        <v>9</v>
      </c>
      <c r="C11" s="30" t="s">
        <v>11</v>
      </c>
      <c r="D11" s="31" t="s">
        <v>8</v>
      </c>
      <c r="E11" s="31"/>
      <c r="F11" s="31"/>
      <c r="G11" s="31"/>
      <c r="H11" s="31"/>
      <c r="I11" s="31"/>
      <c r="J11" s="31"/>
      <c r="K11" s="31"/>
      <c r="L11" s="31" t="s">
        <v>17</v>
      </c>
      <c r="M11" s="32" t="s">
        <v>18</v>
      </c>
    </row>
    <row r="12" spans="1:13" ht="20.100000000000001" customHeight="1" thickBot="1" x14ac:dyDescent="0.45">
      <c r="A12" s="33"/>
      <c r="B12" s="34"/>
      <c r="C12" s="34"/>
      <c r="D12" s="35" t="s">
        <v>0</v>
      </c>
      <c r="E12" s="35" t="s">
        <v>1</v>
      </c>
      <c r="F12" s="35" t="s">
        <v>2</v>
      </c>
      <c r="G12" s="35" t="s">
        <v>3</v>
      </c>
      <c r="H12" s="35" t="s">
        <v>4</v>
      </c>
      <c r="I12" s="35" t="s">
        <v>5</v>
      </c>
      <c r="J12" s="35" t="s">
        <v>7</v>
      </c>
      <c r="K12" s="35" t="s">
        <v>6</v>
      </c>
      <c r="L12" s="34"/>
      <c r="M12" s="36"/>
    </row>
    <row r="13" spans="1:13" ht="20.100000000000001" customHeight="1" x14ac:dyDescent="0.4">
      <c r="A13" s="15" t="s">
        <v>19</v>
      </c>
      <c r="B13" s="16">
        <v>1</v>
      </c>
      <c r="C13" s="15"/>
      <c r="D13" s="13"/>
      <c r="E13" s="13"/>
      <c r="F13" s="13"/>
      <c r="G13" s="13"/>
      <c r="H13" s="13"/>
      <c r="I13" s="13"/>
      <c r="J13" s="13"/>
      <c r="K13" s="13"/>
      <c r="L13" s="13">
        <f>SUM(D13:K13)</f>
        <v>0</v>
      </c>
      <c r="M13" s="14">
        <f>L13/3300</f>
        <v>0</v>
      </c>
    </row>
    <row r="14" spans="1:13" ht="20.100000000000001" customHeight="1" x14ac:dyDescent="0.4">
      <c r="A14" s="15" t="s">
        <v>19</v>
      </c>
      <c r="B14" s="17">
        <v>2</v>
      </c>
      <c r="C14" s="10"/>
      <c r="D14" s="11"/>
      <c r="E14" s="11"/>
      <c r="F14" s="11"/>
      <c r="G14" s="11"/>
      <c r="H14" s="11"/>
      <c r="I14" s="11"/>
      <c r="J14" s="11"/>
      <c r="K14" s="11"/>
      <c r="L14" s="11">
        <f t="shared" ref="L14:L48" si="1">SUM(D14:K14)</f>
        <v>0</v>
      </c>
      <c r="M14" s="12">
        <f>L14/3300</f>
        <v>0</v>
      </c>
    </row>
    <row r="15" spans="1:13" ht="20.100000000000001" customHeight="1" x14ac:dyDescent="0.4">
      <c r="A15" s="15" t="s">
        <v>19</v>
      </c>
      <c r="B15" s="17">
        <v>3</v>
      </c>
      <c r="C15" s="10"/>
      <c r="D15" s="11"/>
      <c r="E15" s="11"/>
      <c r="F15" s="11"/>
      <c r="G15" s="11"/>
      <c r="H15" s="11"/>
      <c r="I15" s="11"/>
      <c r="J15" s="11"/>
      <c r="K15" s="11"/>
      <c r="L15" s="11">
        <f t="shared" si="1"/>
        <v>0</v>
      </c>
      <c r="M15" s="12">
        <f>L15/3300</f>
        <v>0</v>
      </c>
    </row>
    <row r="16" spans="1:13" ht="20.100000000000001" customHeight="1" x14ac:dyDescent="0.4">
      <c r="A16" s="15" t="s">
        <v>19</v>
      </c>
      <c r="B16" s="17">
        <v>4</v>
      </c>
      <c r="C16" s="10"/>
      <c r="D16" s="11"/>
      <c r="E16" s="11"/>
      <c r="F16" s="11"/>
      <c r="G16" s="11"/>
      <c r="H16" s="11"/>
      <c r="I16" s="11"/>
      <c r="J16" s="11"/>
      <c r="K16" s="11"/>
      <c r="L16" s="11">
        <f t="shared" si="1"/>
        <v>0</v>
      </c>
      <c r="M16" s="12">
        <f>L16/3300</f>
        <v>0</v>
      </c>
    </row>
    <row r="17" spans="1:13" ht="20.100000000000001" customHeight="1" x14ac:dyDescent="0.4">
      <c r="A17" s="15" t="s">
        <v>19</v>
      </c>
      <c r="B17" s="17">
        <v>5</v>
      </c>
      <c r="C17" s="10"/>
      <c r="D17" s="11"/>
      <c r="E17" s="11"/>
      <c r="F17" s="11"/>
      <c r="G17" s="11"/>
      <c r="H17" s="11"/>
      <c r="I17" s="11"/>
      <c r="J17" s="11"/>
      <c r="K17" s="11"/>
      <c r="L17" s="11">
        <f t="shared" si="1"/>
        <v>0</v>
      </c>
      <c r="M17" s="12">
        <f>L17/3300</f>
        <v>0</v>
      </c>
    </row>
    <row r="18" spans="1:13" ht="20.100000000000001" customHeight="1" x14ac:dyDescent="0.4">
      <c r="A18" s="15" t="s">
        <v>19</v>
      </c>
      <c r="B18" s="17">
        <v>6</v>
      </c>
      <c r="C18" s="10"/>
      <c r="D18" s="11"/>
      <c r="E18" s="11"/>
      <c r="F18" s="11"/>
      <c r="G18" s="11"/>
      <c r="H18" s="11"/>
      <c r="I18" s="11"/>
      <c r="J18" s="11"/>
      <c r="K18" s="11"/>
      <c r="L18" s="11">
        <f t="shared" si="1"/>
        <v>0</v>
      </c>
      <c r="M18" s="12">
        <f>L18/3300</f>
        <v>0</v>
      </c>
    </row>
    <row r="19" spans="1:13" ht="20.100000000000001" customHeight="1" x14ac:dyDescent="0.4">
      <c r="A19" s="15" t="s">
        <v>19</v>
      </c>
      <c r="B19" s="17">
        <v>7</v>
      </c>
      <c r="C19" s="10"/>
      <c r="D19" s="11"/>
      <c r="E19" s="11"/>
      <c r="F19" s="11"/>
      <c r="G19" s="11"/>
      <c r="H19" s="11"/>
      <c r="I19" s="11"/>
      <c r="J19" s="11"/>
      <c r="K19" s="11"/>
      <c r="L19" s="11">
        <f t="shared" si="1"/>
        <v>0</v>
      </c>
      <c r="M19" s="12">
        <f>L19/3300</f>
        <v>0</v>
      </c>
    </row>
    <row r="20" spans="1:13" ht="20.100000000000001" customHeight="1" x14ac:dyDescent="0.4">
      <c r="A20" s="15" t="s">
        <v>19</v>
      </c>
      <c r="B20" s="17">
        <v>8</v>
      </c>
      <c r="C20" s="10"/>
      <c r="D20" s="11"/>
      <c r="E20" s="11"/>
      <c r="F20" s="11"/>
      <c r="G20" s="11"/>
      <c r="H20" s="11"/>
      <c r="I20" s="11"/>
      <c r="J20" s="11"/>
      <c r="K20" s="11"/>
      <c r="L20" s="11">
        <f t="shared" si="1"/>
        <v>0</v>
      </c>
      <c r="M20" s="12">
        <f>L20/3300</f>
        <v>0</v>
      </c>
    </row>
    <row r="21" spans="1:13" ht="20.100000000000001" customHeight="1" x14ac:dyDescent="0.4">
      <c r="A21" s="15" t="s">
        <v>19</v>
      </c>
      <c r="B21" s="17">
        <v>9</v>
      </c>
      <c r="C21" s="10"/>
      <c r="D21" s="11"/>
      <c r="E21" s="11"/>
      <c r="F21" s="11"/>
      <c r="G21" s="11"/>
      <c r="H21" s="11"/>
      <c r="I21" s="11"/>
      <c r="J21" s="11"/>
      <c r="K21" s="11"/>
      <c r="L21" s="11">
        <f t="shared" si="1"/>
        <v>0</v>
      </c>
      <c r="M21" s="12">
        <f>L21/3300</f>
        <v>0</v>
      </c>
    </row>
    <row r="22" spans="1:13" ht="20.100000000000001" customHeight="1" x14ac:dyDescent="0.4">
      <c r="A22" s="15" t="s">
        <v>19</v>
      </c>
      <c r="B22" s="17">
        <v>10</v>
      </c>
      <c r="C22" s="10"/>
      <c r="D22" s="11"/>
      <c r="E22" s="11"/>
      <c r="F22" s="11"/>
      <c r="G22" s="11"/>
      <c r="H22" s="11"/>
      <c r="I22" s="11"/>
      <c r="J22" s="11"/>
      <c r="K22" s="11"/>
      <c r="L22" s="11">
        <f t="shared" si="1"/>
        <v>0</v>
      </c>
      <c r="M22" s="12">
        <f>L22/3300</f>
        <v>0</v>
      </c>
    </row>
    <row r="23" spans="1:13" ht="20.100000000000001" customHeight="1" x14ac:dyDescent="0.4">
      <c r="A23" s="15" t="s">
        <v>19</v>
      </c>
      <c r="B23" s="17">
        <v>11</v>
      </c>
      <c r="C23" s="10"/>
      <c r="D23" s="11"/>
      <c r="E23" s="11"/>
      <c r="F23" s="11"/>
      <c r="G23" s="11"/>
      <c r="H23" s="11"/>
      <c r="I23" s="11"/>
      <c r="J23" s="11"/>
      <c r="K23" s="11"/>
      <c r="L23" s="11">
        <f t="shared" si="1"/>
        <v>0</v>
      </c>
      <c r="M23" s="12">
        <f>L23/3300</f>
        <v>0</v>
      </c>
    </row>
    <row r="24" spans="1:13" ht="20.100000000000001" customHeight="1" x14ac:dyDescent="0.4">
      <c r="A24" s="15" t="s">
        <v>19</v>
      </c>
      <c r="B24" s="17">
        <v>12</v>
      </c>
      <c r="C24" s="10"/>
      <c r="D24" s="11"/>
      <c r="E24" s="11"/>
      <c r="F24" s="11"/>
      <c r="G24" s="11"/>
      <c r="H24" s="11"/>
      <c r="I24" s="11"/>
      <c r="J24" s="11"/>
      <c r="K24" s="11"/>
      <c r="L24" s="11">
        <f t="shared" si="1"/>
        <v>0</v>
      </c>
      <c r="M24" s="12">
        <f>L24/3300</f>
        <v>0</v>
      </c>
    </row>
    <row r="25" spans="1:13" ht="20.100000000000001" customHeight="1" x14ac:dyDescent="0.4">
      <c r="A25" s="10" t="s">
        <v>20</v>
      </c>
      <c r="B25" s="16">
        <v>1</v>
      </c>
      <c r="C25" s="10"/>
      <c r="D25" s="11"/>
      <c r="E25" s="11"/>
      <c r="F25" s="11"/>
      <c r="G25" s="11"/>
      <c r="H25" s="11"/>
      <c r="I25" s="11"/>
      <c r="J25" s="11"/>
      <c r="K25" s="11"/>
      <c r="L25" s="11">
        <f t="shared" si="1"/>
        <v>0</v>
      </c>
      <c r="M25" s="12">
        <f>L25/3300</f>
        <v>0</v>
      </c>
    </row>
    <row r="26" spans="1:13" ht="20.100000000000001" customHeight="1" x14ac:dyDescent="0.4">
      <c r="A26" s="10" t="s">
        <v>20</v>
      </c>
      <c r="B26" s="17">
        <v>2</v>
      </c>
      <c r="C26" s="10"/>
      <c r="D26" s="11"/>
      <c r="E26" s="11"/>
      <c r="F26" s="11"/>
      <c r="G26" s="11"/>
      <c r="H26" s="11"/>
      <c r="I26" s="11"/>
      <c r="J26" s="11"/>
      <c r="K26" s="11"/>
      <c r="L26" s="11">
        <f t="shared" si="1"/>
        <v>0</v>
      </c>
      <c r="M26" s="12">
        <f>L26/3300</f>
        <v>0</v>
      </c>
    </row>
    <row r="27" spans="1:13" ht="20.100000000000001" customHeight="1" x14ac:dyDescent="0.4">
      <c r="A27" s="10" t="s">
        <v>20</v>
      </c>
      <c r="B27" s="17">
        <v>3</v>
      </c>
      <c r="C27" s="10"/>
      <c r="D27" s="11"/>
      <c r="E27" s="11"/>
      <c r="F27" s="11"/>
      <c r="G27" s="11"/>
      <c r="H27" s="11"/>
      <c r="I27" s="11"/>
      <c r="J27" s="11"/>
      <c r="K27" s="11"/>
      <c r="L27" s="11">
        <f t="shared" si="1"/>
        <v>0</v>
      </c>
      <c r="M27" s="12">
        <f>L27/3300</f>
        <v>0</v>
      </c>
    </row>
    <row r="28" spans="1:13" ht="20.100000000000001" customHeight="1" x14ac:dyDescent="0.4">
      <c r="A28" s="10" t="s">
        <v>20</v>
      </c>
      <c r="B28" s="17">
        <v>4</v>
      </c>
      <c r="C28" s="10"/>
      <c r="D28" s="11"/>
      <c r="E28" s="11"/>
      <c r="F28" s="11"/>
      <c r="G28" s="11"/>
      <c r="H28" s="11"/>
      <c r="I28" s="11"/>
      <c r="J28" s="11"/>
      <c r="K28" s="11"/>
      <c r="L28" s="11">
        <f t="shared" si="1"/>
        <v>0</v>
      </c>
      <c r="M28" s="12">
        <f>L28/3300</f>
        <v>0</v>
      </c>
    </row>
    <row r="29" spans="1:13" ht="20.100000000000001" customHeight="1" x14ac:dyDescent="0.4">
      <c r="A29" s="10" t="s">
        <v>20</v>
      </c>
      <c r="B29" s="17">
        <v>5</v>
      </c>
      <c r="C29" s="10"/>
      <c r="D29" s="11"/>
      <c r="E29" s="11"/>
      <c r="F29" s="11"/>
      <c r="G29" s="11"/>
      <c r="H29" s="11"/>
      <c r="I29" s="11"/>
      <c r="J29" s="11"/>
      <c r="K29" s="11"/>
      <c r="L29" s="11">
        <f t="shared" si="1"/>
        <v>0</v>
      </c>
      <c r="M29" s="12">
        <f>L29/3300</f>
        <v>0</v>
      </c>
    </row>
    <row r="30" spans="1:13" ht="20.100000000000001" customHeight="1" x14ac:dyDescent="0.4">
      <c r="A30" s="10" t="s">
        <v>20</v>
      </c>
      <c r="B30" s="17">
        <v>6</v>
      </c>
      <c r="C30" s="10"/>
      <c r="D30" s="11"/>
      <c r="E30" s="11"/>
      <c r="F30" s="11"/>
      <c r="G30" s="11"/>
      <c r="H30" s="11"/>
      <c r="I30" s="11"/>
      <c r="J30" s="11"/>
      <c r="K30" s="11"/>
      <c r="L30" s="11">
        <f t="shared" si="1"/>
        <v>0</v>
      </c>
      <c r="M30" s="12">
        <f>L30/3300</f>
        <v>0</v>
      </c>
    </row>
    <row r="31" spans="1:13" ht="20.100000000000001" customHeight="1" x14ac:dyDescent="0.4">
      <c r="A31" s="10" t="s">
        <v>20</v>
      </c>
      <c r="B31" s="17">
        <v>7</v>
      </c>
      <c r="C31" s="10"/>
      <c r="D31" s="11"/>
      <c r="E31" s="11"/>
      <c r="F31" s="11"/>
      <c r="G31" s="11"/>
      <c r="H31" s="11"/>
      <c r="I31" s="11"/>
      <c r="J31" s="11"/>
      <c r="K31" s="11"/>
      <c r="L31" s="11">
        <f t="shared" si="1"/>
        <v>0</v>
      </c>
      <c r="M31" s="12">
        <f>L31/3300</f>
        <v>0</v>
      </c>
    </row>
    <row r="32" spans="1:13" ht="20.100000000000001" customHeight="1" x14ac:dyDescent="0.4">
      <c r="A32" s="10" t="s">
        <v>20</v>
      </c>
      <c r="B32" s="17">
        <v>8</v>
      </c>
      <c r="C32" s="10"/>
      <c r="D32" s="11"/>
      <c r="E32" s="11"/>
      <c r="F32" s="11"/>
      <c r="G32" s="11"/>
      <c r="H32" s="11"/>
      <c r="I32" s="11"/>
      <c r="J32" s="11"/>
      <c r="K32" s="11"/>
      <c r="L32" s="11">
        <f t="shared" si="1"/>
        <v>0</v>
      </c>
      <c r="M32" s="12">
        <f>L32/3300</f>
        <v>0</v>
      </c>
    </row>
    <row r="33" spans="1:13" ht="20.100000000000001" customHeight="1" x14ac:dyDescent="0.4">
      <c r="A33" s="10" t="s">
        <v>20</v>
      </c>
      <c r="B33" s="17">
        <v>9</v>
      </c>
      <c r="C33" s="10"/>
      <c r="D33" s="11"/>
      <c r="E33" s="11"/>
      <c r="F33" s="11"/>
      <c r="G33" s="11"/>
      <c r="H33" s="11"/>
      <c r="I33" s="11"/>
      <c r="J33" s="11"/>
      <c r="K33" s="11"/>
      <c r="L33" s="11">
        <f t="shared" si="1"/>
        <v>0</v>
      </c>
      <c r="M33" s="12">
        <f>L33/3300</f>
        <v>0</v>
      </c>
    </row>
    <row r="34" spans="1:13" ht="20.100000000000001" customHeight="1" x14ac:dyDescent="0.4">
      <c r="A34" s="10" t="s">
        <v>20</v>
      </c>
      <c r="B34" s="17">
        <v>10</v>
      </c>
      <c r="C34" s="10"/>
      <c r="D34" s="11"/>
      <c r="E34" s="11"/>
      <c r="F34" s="11"/>
      <c r="G34" s="11"/>
      <c r="H34" s="11"/>
      <c r="I34" s="11"/>
      <c r="J34" s="11"/>
      <c r="K34" s="11"/>
      <c r="L34" s="11">
        <f t="shared" si="1"/>
        <v>0</v>
      </c>
      <c r="M34" s="12">
        <f>L34/3300</f>
        <v>0</v>
      </c>
    </row>
    <row r="35" spans="1:13" ht="20.100000000000001" customHeight="1" x14ac:dyDescent="0.4">
      <c r="A35" s="10" t="s">
        <v>20</v>
      </c>
      <c r="B35" s="17">
        <v>11</v>
      </c>
      <c r="C35" s="10"/>
      <c r="D35" s="11"/>
      <c r="E35" s="11"/>
      <c r="F35" s="11"/>
      <c r="G35" s="11"/>
      <c r="H35" s="11"/>
      <c r="I35" s="11"/>
      <c r="J35" s="11"/>
      <c r="K35" s="11"/>
      <c r="L35" s="11">
        <f t="shared" si="1"/>
        <v>0</v>
      </c>
      <c r="M35" s="12">
        <f>L35/3300</f>
        <v>0</v>
      </c>
    </row>
    <row r="36" spans="1:13" ht="20.100000000000001" customHeight="1" x14ac:dyDescent="0.4">
      <c r="A36" s="10" t="s">
        <v>20</v>
      </c>
      <c r="B36" s="17">
        <v>12</v>
      </c>
      <c r="C36" s="10"/>
      <c r="D36" s="11"/>
      <c r="E36" s="11"/>
      <c r="F36" s="11"/>
      <c r="G36" s="11"/>
      <c r="H36" s="11"/>
      <c r="I36" s="11"/>
      <c r="J36" s="11"/>
      <c r="K36" s="11"/>
      <c r="L36" s="11">
        <f t="shared" si="1"/>
        <v>0</v>
      </c>
      <c r="M36" s="12">
        <f>L36/3300</f>
        <v>0</v>
      </c>
    </row>
    <row r="37" spans="1:13" ht="20.100000000000001" customHeight="1" x14ac:dyDescent="0.4">
      <c r="A37" s="10" t="s">
        <v>21</v>
      </c>
      <c r="B37" s="17">
        <v>1</v>
      </c>
      <c r="C37" s="10"/>
      <c r="D37" s="11"/>
      <c r="E37" s="11"/>
      <c r="F37" s="11"/>
      <c r="G37" s="11"/>
      <c r="H37" s="11"/>
      <c r="I37" s="11"/>
      <c r="J37" s="11"/>
      <c r="K37" s="11"/>
      <c r="L37" s="11">
        <f t="shared" si="1"/>
        <v>0</v>
      </c>
      <c r="M37" s="12">
        <f>L37/3300</f>
        <v>0</v>
      </c>
    </row>
    <row r="38" spans="1:13" ht="20.100000000000001" customHeight="1" x14ac:dyDescent="0.4">
      <c r="A38" s="10" t="s">
        <v>21</v>
      </c>
      <c r="B38" s="17">
        <v>2</v>
      </c>
      <c r="C38" s="10"/>
      <c r="D38" s="11"/>
      <c r="E38" s="11"/>
      <c r="F38" s="11"/>
      <c r="G38" s="11"/>
      <c r="H38" s="11"/>
      <c r="I38" s="11"/>
      <c r="J38" s="11"/>
      <c r="K38" s="11"/>
      <c r="L38" s="11">
        <f t="shared" si="1"/>
        <v>0</v>
      </c>
      <c r="M38" s="12">
        <f>L38/3300</f>
        <v>0</v>
      </c>
    </row>
    <row r="39" spans="1:13" ht="20.100000000000001" customHeight="1" x14ac:dyDescent="0.4">
      <c r="A39" s="10" t="s">
        <v>21</v>
      </c>
      <c r="B39" s="17">
        <v>3</v>
      </c>
      <c r="C39" s="10"/>
      <c r="D39" s="11"/>
      <c r="E39" s="11"/>
      <c r="F39" s="11"/>
      <c r="G39" s="11"/>
      <c r="H39" s="11"/>
      <c r="I39" s="11"/>
      <c r="J39" s="11"/>
      <c r="K39" s="11"/>
      <c r="L39" s="11">
        <f t="shared" si="1"/>
        <v>0</v>
      </c>
      <c r="M39" s="12">
        <f>L39/3300</f>
        <v>0</v>
      </c>
    </row>
    <row r="40" spans="1:13" ht="20.100000000000001" customHeight="1" x14ac:dyDescent="0.4">
      <c r="A40" s="10" t="s">
        <v>21</v>
      </c>
      <c r="B40" s="17">
        <v>4</v>
      </c>
      <c r="C40" s="10"/>
      <c r="D40" s="11"/>
      <c r="E40" s="11"/>
      <c r="F40" s="11"/>
      <c r="G40" s="11"/>
      <c r="H40" s="11"/>
      <c r="I40" s="11"/>
      <c r="J40" s="11"/>
      <c r="K40" s="11"/>
      <c r="L40" s="11">
        <f t="shared" si="1"/>
        <v>0</v>
      </c>
      <c r="M40" s="12">
        <f>L40/3300</f>
        <v>0</v>
      </c>
    </row>
    <row r="41" spans="1:13" ht="20.100000000000001" customHeight="1" x14ac:dyDescent="0.4">
      <c r="A41" s="10" t="s">
        <v>21</v>
      </c>
      <c r="B41" s="17">
        <v>5</v>
      </c>
      <c r="C41" s="10"/>
      <c r="D41" s="11"/>
      <c r="E41" s="11"/>
      <c r="F41" s="11"/>
      <c r="G41" s="11"/>
      <c r="H41" s="11"/>
      <c r="I41" s="11"/>
      <c r="J41" s="11"/>
      <c r="K41" s="11"/>
      <c r="L41" s="11">
        <f t="shared" si="1"/>
        <v>0</v>
      </c>
      <c r="M41" s="12">
        <f>L41/3300</f>
        <v>0</v>
      </c>
    </row>
    <row r="42" spans="1:13" ht="20.100000000000001" customHeight="1" x14ac:dyDescent="0.4">
      <c r="A42" s="10" t="s">
        <v>21</v>
      </c>
      <c r="B42" s="17">
        <v>6</v>
      </c>
      <c r="C42" s="10"/>
      <c r="D42" s="11"/>
      <c r="E42" s="11"/>
      <c r="F42" s="11"/>
      <c r="G42" s="11"/>
      <c r="H42" s="11"/>
      <c r="I42" s="11"/>
      <c r="J42" s="11"/>
      <c r="K42" s="11"/>
      <c r="L42" s="11">
        <f t="shared" si="1"/>
        <v>0</v>
      </c>
      <c r="M42" s="12">
        <f>L42/3300</f>
        <v>0</v>
      </c>
    </row>
    <row r="43" spans="1:13" ht="20.100000000000001" customHeight="1" x14ac:dyDescent="0.4">
      <c r="A43" s="10" t="s">
        <v>21</v>
      </c>
      <c r="B43" s="17">
        <v>7</v>
      </c>
      <c r="C43" s="10"/>
      <c r="D43" s="11"/>
      <c r="E43" s="11"/>
      <c r="F43" s="11"/>
      <c r="G43" s="11"/>
      <c r="H43" s="11"/>
      <c r="I43" s="11"/>
      <c r="J43" s="11"/>
      <c r="K43" s="11"/>
      <c r="L43" s="11">
        <f t="shared" si="1"/>
        <v>0</v>
      </c>
      <c r="M43" s="12">
        <f>L43/3300</f>
        <v>0</v>
      </c>
    </row>
    <row r="44" spans="1:13" ht="20.100000000000001" customHeight="1" x14ac:dyDescent="0.4">
      <c r="A44" s="10" t="s">
        <v>21</v>
      </c>
      <c r="B44" s="17">
        <v>8</v>
      </c>
      <c r="C44" s="10"/>
      <c r="D44" s="11"/>
      <c r="E44" s="11"/>
      <c r="F44" s="11"/>
      <c r="G44" s="11"/>
      <c r="H44" s="11"/>
      <c r="I44" s="11"/>
      <c r="J44" s="11"/>
      <c r="K44" s="11"/>
      <c r="L44" s="11">
        <f t="shared" si="1"/>
        <v>0</v>
      </c>
      <c r="M44" s="12">
        <f>L44/3300</f>
        <v>0</v>
      </c>
    </row>
    <row r="45" spans="1:13" ht="20.100000000000001" customHeight="1" x14ac:dyDescent="0.4">
      <c r="A45" s="10" t="s">
        <v>21</v>
      </c>
      <c r="B45" s="17">
        <v>9</v>
      </c>
      <c r="C45" s="10"/>
      <c r="D45" s="11"/>
      <c r="E45" s="11"/>
      <c r="F45" s="11"/>
      <c r="G45" s="11"/>
      <c r="H45" s="11"/>
      <c r="I45" s="11"/>
      <c r="J45" s="11"/>
      <c r="K45" s="11"/>
      <c r="L45" s="11">
        <f t="shared" si="1"/>
        <v>0</v>
      </c>
      <c r="M45" s="12">
        <f>L45/3300</f>
        <v>0</v>
      </c>
    </row>
    <row r="46" spans="1:13" ht="20.100000000000001" customHeight="1" x14ac:dyDescent="0.4">
      <c r="A46" s="10" t="s">
        <v>21</v>
      </c>
      <c r="B46" s="17">
        <v>10</v>
      </c>
      <c r="C46" s="10"/>
      <c r="D46" s="11"/>
      <c r="E46" s="11"/>
      <c r="F46" s="11"/>
      <c r="G46" s="11"/>
      <c r="H46" s="11"/>
      <c r="I46" s="11"/>
      <c r="J46" s="11"/>
      <c r="K46" s="11"/>
      <c r="L46" s="11">
        <f t="shared" si="1"/>
        <v>0</v>
      </c>
      <c r="M46" s="12">
        <f>L46/3300</f>
        <v>0</v>
      </c>
    </row>
    <row r="47" spans="1:13" ht="20.100000000000001" customHeight="1" x14ac:dyDescent="0.4">
      <c r="A47" s="10" t="s">
        <v>21</v>
      </c>
      <c r="B47" s="17">
        <v>11</v>
      </c>
      <c r="C47" s="10"/>
      <c r="D47" s="11"/>
      <c r="E47" s="11"/>
      <c r="F47" s="11"/>
      <c r="G47" s="11"/>
      <c r="H47" s="11"/>
      <c r="I47" s="11"/>
      <c r="J47" s="11"/>
      <c r="K47" s="11"/>
      <c r="L47" s="11">
        <f t="shared" si="1"/>
        <v>0</v>
      </c>
      <c r="M47" s="12">
        <f>L47/3300</f>
        <v>0</v>
      </c>
    </row>
    <row r="48" spans="1:13" ht="20.100000000000001" customHeight="1" x14ac:dyDescent="0.4">
      <c r="A48" s="10" t="s">
        <v>21</v>
      </c>
      <c r="B48" s="17">
        <v>12</v>
      </c>
      <c r="C48" s="10"/>
      <c r="D48" s="11"/>
      <c r="E48" s="11"/>
      <c r="F48" s="11"/>
      <c r="G48" s="11"/>
      <c r="H48" s="11"/>
      <c r="I48" s="11"/>
      <c r="J48" s="11"/>
      <c r="K48" s="11"/>
      <c r="L48" s="11">
        <f t="shared" si="1"/>
        <v>0</v>
      </c>
      <c r="M48" s="12">
        <f>L48/3300</f>
        <v>0</v>
      </c>
    </row>
  </sheetData>
  <mergeCells count="10">
    <mergeCell ref="L11:L12"/>
    <mergeCell ref="M11:M12"/>
    <mergeCell ref="A1:D2"/>
    <mergeCell ref="B5:C5"/>
    <mergeCell ref="B9:C9"/>
    <mergeCell ref="B10:C10"/>
    <mergeCell ref="A11:A12"/>
    <mergeCell ref="B11:B12"/>
    <mergeCell ref="C11:C12"/>
    <mergeCell ref="D11:K11"/>
  </mergeCells>
  <phoneticPr fontId="1"/>
  <conditionalFormatting sqref="C13:C48">
    <cfRule type="cellIs" dxfId="7" priority="5" operator="equal">
      <formula>"見送り"</formula>
    </cfRule>
    <cfRule type="cellIs" dxfId="6" priority="6" operator="equal">
      <formula>"穴"</formula>
    </cfRule>
    <cfRule type="cellIs" dxfId="5" priority="7" operator="equal">
      <formula>"中穴"</formula>
    </cfRule>
    <cfRule type="cellIs" dxfId="4" priority="8" operator="equal">
      <formula>"本命"</formula>
    </cfRule>
  </conditionalFormatting>
  <conditionalFormatting sqref="M13:M48">
    <cfRule type="cellIs" dxfId="3" priority="3" operator="greaterThanOrEqual">
      <formula>100</formula>
    </cfRule>
    <cfRule type="cellIs" dxfId="2" priority="4" operator="lessThan">
      <formula>100</formula>
    </cfRule>
  </conditionalFormatting>
  <conditionalFormatting sqref="D10:K10">
    <cfRule type="cellIs" dxfId="1" priority="1" operator="greaterThanOrEqual">
      <formula>1</formula>
    </cfRule>
    <cfRule type="cellIs" dxfId="0" priority="2" operator="lessThan">
      <formula>1</formula>
    </cfRule>
  </conditionalFormatting>
  <dataValidations count="2">
    <dataValidation type="list" allowBlank="1" showInputMessage="1" showErrorMessage="1" sqref="A13:A48" xr:uid="{166CBD43-EF70-4A2C-B32F-3B5643A34BF1}">
      <formula1>"東京,中山,京都,阪神,中京"</formula1>
    </dataValidation>
    <dataValidation type="list" allowBlank="1" showInputMessage="1" showErrorMessage="1" sqref="C13:C48" xr:uid="{F538D605-3CB8-4CAC-9E2F-868F16F35D26}">
      <formula1>"本命,中穴,穴,見送り"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FE65D-4A9F-4F53-8935-937B88396341}">
  <dimension ref="A1:M48"/>
  <sheetViews>
    <sheetView workbookViewId="0">
      <pane ySplit="12" topLeftCell="A13" activePane="bottomLeft" state="frozen"/>
      <selection pane="bottomLeft" activeCell="F23" sqref="F23"/>
    </sheetView>
  </sheetViews>
  <sheetFormatPr defaultRowHeight="18.75" x14ac:dyDescent="0.4"/>
  <cols>
    <col min="1" max="3" width="8.125" customWidth="1"/>
  </cols>
  <sheetData>
    <row r="1" spans="1:13" ht="19.5" thickTop="1" x14ac:dyDescent="0.4">
      <c r="A1" s="18" t="s">
        <v>22</v>
      </c>
      <c r="B1" s="18"/>
      <c r="C1" s="18"/>
      <c r="D1" s="18"/>
      <c r="F1" s="1" t="s">
        <v>25</v>
      </c>
      <c r="G1" s="2"/>
      <c r="H1" s="2"/>
      <c r="I1" s="2"/>
      <c r="J1" s="2"/>
      <c r="K1" s="2"/>
      <c r="L1" s="3"/>
    </row>
    <row r="2" spans="1:13" x14ac:dyDescent="0.4">
      <c r="A2" s="18"/>
      <c r="B2" s="18"/>
      <c r="C2" s="18"/>
      <c r="D2" s="18"/>
      <c r="F2" s="4" t="s">
        <v>12</v>
      </c>
      <c r="G2" s="5"/>
      <c r="H2" s="5"/>
      <c r="I2" s="5"/>
      <c r="J2" s="5"/>
      <c r="K2" s="5"/>
      <c r="L2" s="6"/>
    </row>
    <row r="3" spans="1:13" x14ac:dyDescent="0.4">
      <c r="F3" s="4" t="s">
        <v>13</v>
      </c>
      <c r="G3" s="5"/>
      <c r="H3" s="5"/>
      <c r="I3" s="5"/>
      <c r="J3" s="5"/>
      <c r="K3" s="5"/>
      <c r="L3" s="6"/>
    </row>
    <row r="4" spans="1:13" x14ac:dyDescent="0.4">
      <c r="A4" t="s">
        <v>30</v>
      </c>
      <c r="F4" s="4" t="s">
        <v>14</v>
      </c>
      <c r="G4" s="5"/>
      <c r="H4" s="5"/>
      <c r="I4" s="5"/>
      <c r="J4" s="5"/>
      <c r="K4" s="5"/>
      <c r="L4" s="6"/>
    </row>
    <row r="5" spans="1:13" x14ac:dyDescent="0.4">
      <c r="B5" s="37">
        <v>46012</v>
      </c>
      <c r="C5" s="37"/>
      <c r="F5" s="4" t="s">
        <v>15</v>
      </c>
      <c r="G5" s="5"/>
      <c r="H5" s="5"/>
      <c r="I5" s="5"/>
      <c r="J5" s="5"/>
      <c r="K5" s="5"/>
      <c r="L5" s="6"/>
    </row>
    <row r="6" spans="1:13" x14ac:dyDescent="0.4">
      <c r="F6" s="4" t="s">
        <v>16</v>
      </c>
      <c r="G6" s="5"/>
      <c r="H6" s="5"/>
      <c r="I6" s="5"/>
      <c r="J6" s="5"/>
      <c r="K6" s="5"/>
      <c r="L6" s="6"/>
    </row>
    <row r="7" spans="1:13" ht="19.5" thickBot="1" x14ac:dyDescent="0.45">
      <c r="F7" s="7" t="s">
        <v>31</v>
      </c>
      <c r="G7" s="8"/>
      <c r="H7" s="8"/>
      <c r="I7" s="8"/>
      <c r="J7" s="8"/>
      <c r="K7" s="8"/>
      <c r="L7" s="9"/>
    </row>
    <row r="8" spans="1:13" ht="9.9499999999999993" customHeight="1" thickTop="1" thickBot="1" x14ac:dyDescent="0.45">
      <c r="F8" s="5"/>
      <c r="G8" s="5"/>
      <c r="H8" s="5"/>
      <c r="I8" s="5"/>
      <c r="J8" s="5"/>
      <c r="K8" s="5"/>
      <c r="L8" s="5"/>
    </row>
    <row r="9" spans="1:13" ht="20.100000000000001" customHeight="1" x14ac:dyDescent="0.4">
      <c r="B9" s="25" t="s">
        <v>23</v>
      </c>
      <c r="C9" s="26"/>
      <c r="D9" s="19">
        <f>SUM(D13:D48)</f>
        <v>3260</v>
      </c>
      <c r="E9" s="20">
        <f t="shared" ref="E9:K9" si="0">SUM(E13:E48)</f>
        <v>3660</v>
      </c>
      <c r="F9" s="20">
        <f t="shared" si="0"/>
        <v>5480</v>
      </c>
      <c r="G9" s="20">
        <f t="shared" si="0"/>
        <v>7730</v>
      </c>
      <c r="H9" s="20">
        <f t="shared" si="0"/>
        <v>13600</v>
      </c>
      <c r="I9" s="20">
        <f t="shared" si="0"/>
        <v>12310</v>
      </c>
      <c r="J9" s="20">
        <f t="shared" si="0"/>
        <v>15800</v>
      </c>
      <c r="K9" s="21">
        <f t="shared" si="0"/>
        <v>68280</v>
      </c>
      <c r="L9" s="5"/>
    </row>
    <row r="10" spans="1:13" ht="20.100000000000001" customHeight="1" thickBot="1" x14ac:dyDescent="0.45">
      <c r="B10" s="27" t="s">
        <v>24</v>
      </c>
      <c r="C10" s="28"/>
      <c r="D10" s="22">
        <f>D9/3600</f>
        <v>0.90555555555555556</v>
      </c>
      <c r="E10" s="23">
        <f>E9/3600</f>
        <v>1.0166666666666666</v>
      </c>
      <c r="F10" s="23">
        <f>F9/(3600*3)</f>
        <v>0.50740740740740742</v>
      </c>
      <c r="G10" s="23">
        <f>G9/(3600*3)</f>
        <v>0.71574074074074079</v>
      </c>
      <c r="H10" s="23">
        <f>H9/(3600*6)</f>
        <v>0.62962962962962965</v>
      </c>
      <c r="I10" s="23">
        <f>I9/(3600*2)</f>
        <v>1.7097222222222221</v>
      </c>
      <c r="J10" s="23">
        <f>J9/(3600*3)</f>
        <v>1.462962962962963</v>
      </c>
      <c r="K10" s="24">
        <f>K9/(3600*18)</f>
        <v>1.0537037037037038</v>
      </c>
    </row>
    <row r="11" spans="1:13" ht="20.100000000000001" customHeight="1" x14ac:dyDescent="0.4">
      <c r="A11" s="29" t="s">
        <v>10</v>
      </c>
      <c r="B11" s="30" t="s">
        <v>9</v>
      </c>
      <c r="C11" s="30" t="s">
        <v>11</v>
      </c>
      <c r="D11" s="31" t="s">
        <v>8</v>
      </c>
      <c r="E11" s="31"/>
      <c r="F11" s="31"/>
      <c r="G11" s="31"/>
      <c r="H11" s="31"/>
      <c r="I11" s="31"/>
      <c r="J11" s="31"/>
      <c r="K11" s="31"/>
      <c r="L11" s="31" t="s">
        <v>17</v>
      </c>
      <c r="M11" s="32" t="s">
        <v>18</v>
      </c>
    </row>
    <row r="12" spans="1:13" ht="20.100000000000001" customHeight="1" thickBot="1" x14ac:dyDescent="0.45">
      <c r="A12" s="33"/>
      <c r="B12" s="34"/>
      <c r="C12" s="34"/>
      <c r="D12" s="35" t="s">
        <v>0</v>
      </c>
      <c r="E12" s="35" t="s">
        <v>1</v>
      </c>
      <c r="F12" s="35" t="s">
        <v>2</v>
      </c>
      <c r="G12" s="35" t="s">
        <v>3</v>
      </c>
      <c r="H12" s="35" t="s">
        <v>4</v>
      </c>
      <c r="I12" s="35" t="s">
        <v>5</v>
      </c>
      <c r="J12" s="35" t="s">
        <v>7</v>
      </c>
      <c r="K12" s="35" t="s">
        <v>6</v>
      </c>
      <c r="L12" s="34"/>
      <c r="M12" s="36"/>
    </row>
    <row r="13" spans="1:13" ht="20.100000000000001" customHeight="1" x14ac:dyDescent="0.4">
      <c r="A13" s="15" t="s">
        <v>19</v>
      </c>
      <c r="B13" s="16">
        <v>1</v>
      </c>
      <c r="C13" s="15" t="s">
        <v>26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f>SUM(D13:K13)</f>
        <v>0</v>
      </c>
      <c r="M13" s="14">
        <f>L13/3300</f>
        <v>0</v>
      </c>
    </row>
    <row r="14" spans="1:13" ht="20.100000000000001" customHeight="1" x14ac:dyDescent="0.4">
      <c r="A14" s="15" t="s">
        <v>19</v>
      </c>
      <c r="B14" s="17">
        <v>2</v>
      </c>
      <c r="C14" s="10" t="s">
        <v>26</v>
      </c>
      <c r="D14" s="11">
        <v>0</v>
      </c>
      <c r="E14" s="11">
        <v>150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f t="shared" ref="L14:L48" si="1">SUM(D14:K14)</f>
        <v>150</v>
      </c>
      <c r="M14" s="12">
        <f>L14/3300</f>
        <v>4.5454545454545456E-2</v>
      </c>
    </row>
    <row r="15" spans="1:13" ht="20.100000000000001" customHeight="1" x14ac:dyDescent="0.4">
      <c r="A15" s="15" t="s">
        <v>19</v>
      </c>
      <c r="B15" s="17">
        <v>3</v>
      </c>
      <c r="C15" s="10" t="s">
        <v>26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f t="shared" si="1"/>
        <v>0</v>
      </c>
      <c r="M15" s="12">
        <f>L15/3300</f>
        <v>0</v>
      </c>
    </row>
    <row r="16" spans="1:13" ht="20.100000000000001" customHeight="1" x14ac:dyDescent="0.4">
      <c r="A16" s="15" t="s">
        <v>19</v>
      </c>
      <c r="B16" s="17">
        <v>4</v>
      </c>
      <c r="C16" s="10" t="s">
        <v>26</v>
      </c>
      <c r="D16" s="11">
        <v>380</v>
      </c>
      <c r="E16" s="11">
        <v>190</v>
      </c>
      <c r="F16" s="11">
        <v>530</v>
      </c>
      <c r="G16" s="11">
        <v>1030</v>
      </c>
      <c r="H16" s="11">
        <v>1890</v>
      </c>
      <c r="I16" s="11">
        <v>460</v>
      </c>
      <c r="J16" s="11">
        <v>0</v>
      </c>
      <c r="K16" s="11">
        <v>0</v>
      </c>
      <c r="L16" s="11">
        <f t="shared" si="1"/>
        <v>4480</v>
      </c>
      <c r="M16" s="12">
        <f>L16/3300</f>
        <v>1.3575757575757577</v>
      </c>
    </row>
    <row r="17" spans="1:13" ht="20.100000000000001" customHeight="1" x14ac:dyDescent="0.4">
      <c r="A17" s="15" t="s">
        <v>19</v>
      </c>
      <c r="B17" s="17">
        <v>5</v>
      </c>
      <c r="C17" s="10" t="s">
        <v>26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f t="shared" si="1"/>
        <v>0</v>
      </c>
      <c r="M17" s="12">
        <f>L17/3300</f>
        <v>0</v>
      </c>
    </row>
    <row r="18" spans="1:13" ht="20.100000000000001" customHeight="1" x14ac:dyDescent="0.4">
      <c r="A18" s="15" t="s">
        <v>19</v>
      </c>
      <c r="B18" s="17">
        <v>6</v>
      </c>
      <c r="C18" s="10" t="s">
        <v>26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f t="shared" si="1"/>
        <v>0</v>
      </c>
      <c r="M18" s="12">
        <f>L18/3300</f>
        <v>0</v>
      </c>
    </row>
    <row r="19" spans="1:13" ht="20.100000000000001" customHeight="1" x14ac:dyDescent="0.4">
      <c r="A19" s="15" t="s">
        <v>19</v>
      </c>
      <c r="B19" s="17">
        <v>7</v>
      </c>
      <c r="C19" s="10" t="s">
        <v>26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f t="shared" si="1"/>
        <v>0</v>
      </c>
      <c r="M19" s="12">
        <f>L19/3300</f>
        <v>0</v>
      </c>
    </row>
    <row r="20" spans="1:13" ht="20.100000000000001" customHeight="1" x14ac:dyDescent="0.4">
      <c r="A20" s="15" t="s">
        <v>19</v>
      </c>
      <c r="B20" s="17">
        <v>8</v>
      </c>
      <c r="C20" s="10" t="s">
        <v>26</v>
      </c>
      <c r="D20" s="11">
        <v>0</v>
      </c>
      <c r="E20" s="11">
        <v>150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f t="shared" si="1"/>
        <v>150</v>
      </c>
      <c r="M20" s="12">
        <f>L20/3300</f>
        <v>4.5454545454545456E-2</v>
      </c>
    </row>
    <row r="21" spans="1:13" ht="20.100000000000001" customHeight="1" x14ac:dyDescent="0.4">
      <c r="A21" s="15" t="s">
        <v>19</v>
      </c>
      <c r="B21" s="17">
        <v>9</v>
      </c>
      <c r="C21" s="10" t="s">
        <v>26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f t="shared" si="1"/>
        <v>0</v>
      </c>
      <c r="M21" s="12">
        <f>L21/3300</f>
        <v>0</v>
      </c>
    </row>
    <row r="22" spans="1:13" ht="20.100000000000001" customHeight="1" x14ac:dyDescent="0.4">
      <c r="A22" s="15" t="s">
        <v>19</v>
      </c>
      <c r="B22" s="17">
        <v>10</v>
      </c>
      <c r="C22" s="10" t="s">
        <v>26</v>
      </c>
      <c r="D22" s="11">
        <v>210</v>
      </c>
      <c r="E22" s="11">
        <v>150</v>
      </c>
      <c r="F22" s="11">
        <v>930</v>
      </c>
      <c r="G22" s="11">
        <v>750</v>
      </c>
      <c r="H22" s="11">
        <v>970</v>
      </c>
      <c r="I22" s="11">
        <v>370</v>
      </c>
      <c r="J22" s="11">
        <v>0</v>
      </c>
      <c r="K22" s="11">
        <v>0</v>
      </c>
      <c r="L22" s="11">
        <f t="shared" si="1"/>
        <v>3380</v>
      </c>
      <c r="M22" s="12">
        <f>L22/3300</f>
        <v>1.0242424242424242</v>
      </c>
    </row>
    <row r="23" spans="1:13" ht="20.100000000000001" customHeight="1" x14ac:dyDescent="0.4">
      <c r="A23" s="15" t="s">
        <v>19</v>
      </c>
      <c r="B23" s="17">
        <v>11</v>
      </c>
      <c r="C23" s="10" t="s">
        <v>26</v>
      </c>
      <c r="D23" s="11">
        <v>0</v>
      </c>
      <c r="E23" s="11">
        <v>210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f t="shared" si="1"/>
        <v>210</v>
      </c>
      <c r="M23" s="12">
        <f>L23/3300</f>
        <v>6.363636363636363E-2</v>
      </c>
    </row>
    <row r="24" spans="1:13" ht="20.100000000000001" customHeight="1" x14ac:dyDescent="0.4">
      <c r="A24" s="15" t="s">
        <v>19</v>
      </c>
      <c r="B24" s="17">
        <v>12</v>
      </c>
      <c r="C24" s="10" t="s">
        <v>26</v>
      </c>
      <c r="D24" s="11">
        <v>0</v>
      </c>
      <c r="E24" s="11">
        <v>180</v>
      </c>
      <c r="F24" s="11">
        <v>780</v>
      </c>
      <c r="G24" s="11">
        <v>1470</v>
      </c>
      <c r="H24" s="11">
        <v>3050</v>
      </c>
      <c r="I24" s="11">
        <f>580+2410</f>
        <v>2990</v>
      </c>
      <c r="J24" s="11">
        <v>13420</v>
      </c>
      <c r="K24" s="11">
        <v>56320</v>
      </c>
      <c r="L24" s="11">
        <f t="shared" si="1"/>
        <v>78210</v>
      </c>
      <c r="M24" s="12">
        <f>L24/3300</f>
        <v>23.7</v>
      </c>
    </row>
    <row r="25" spans="1:13" ht="20.100000000000001" customHeight="1" x14ac:dyDescent="0.4">
      <c r="A25" s="10" t="s">
        <v>20</v>
      </c>
      <c r="B25" s="16">
        <v>1</v>
      </c>
      <c r="C25" s="10" t="s">
        <v>28</v>
      </c>
      <c r="D25" s="11">
        <v>530</v>
      </c>
      <c r="E25" s="11">
        <v>120</v>
      </c>
      <c r="F25" s="11">
        <v>190</v>
      </c>
      <c r="G25" s="11">
        <v>260</v>
      </c>
      <c r="H25" s="11">
        <v>1030</v>
      </c>
      <c r="I25" s="11">
        <v>150</v>
      </c>
      <c r="J25" s="11">
        <v>0</v>
      </c>
      <c r="K25" s="11">
        <v>0</v>
      </c>
      <c r="L25" s="11">
        <f t="shared" si="1"/>
        <v>2280</v>
      </c>
      <c r="M25" s="12">
        <f>L25/3300</f>
        <v>0.69090909090909092</v>
      </c>
    </row>
    <row r="26" spans="1:13" ht="20.100000000000001" customHeight="1" x14ac:dyDescent="0.4">
      <c r="A26" s="10" t="s">
        <v>20</v>
      </c>
      <c r="B26" s="17">
        <v>2</v>
      </c>
      <c r="C26" s="10" t="s">
        <v>26</v>
      </c>
      <c r="D26" s="11">
        <v>240</v>
      </c>
      <c r="E26" s="11">
        <v>130</v>
      </c>
      <c r="F26" s="11">
        <v>450</v>
      </c>
      <c r="G26" s="11">
        <v>1040</v>
      </c>
      <c r="H26" s="11">
        <v>1490</v>
      </c>
      <c r="I26" s="11">
        <v>410</v>
      </c>
      <c r="J26" s="11">
        <v>0</v>
      </c>
      <c r="K26" s="11">
        <v>0</v>
      </c>
      <c r="L26" s="11">
        <f t="shared" si="1"/>
        <v>3760</v>
      </c>
      <c r="M26" s="12">
        <f>L26/3300</f>
        <v>1.1393939393939394</v>
      </c>
    </row>
    <row r="27" spans="1:13" ht="20.100000000000001" customHeight="1" x14ac:dyDescent="0.4">
      <c r="A27" s="10" t="s">
        <v>20</v>
      </c>
      <c r="B27" s="17">
        <v>3</v>
      </c>
      <c r="C27" s="10" t="s">
        <v>26</v>
      </c>
      <c r="D27" s="11">
        <v>0</v>
      </c>
      <c r="E27" s="11">
        <v>170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f t="shared" si="1"/>
        <v>170</v>
      </c>
      <c r="M27" s="12">
        <f>L27/3300</f>
        <v>5.1515151515151514E-2</v>
      </c>
    </row>
    <row r="28" spans="1:13" ht="20.100000000000001" customHeight="1" x14ac:dyDescent="0.4">
      <c r="A28" s="10" t="s">
        <v>20</v>
      </c>
      <c r="B28" s="17">
        <v>4</v>
      </c>
      <c r="C28" s="10" t="s">
        <v>27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f t="shared" si="1"/>
        <v>0</v>
      </c>
      <c r="M28" s="12">
        <f>L28/3300</f>
        <v>0</v>
      </c>
    </row>
    <row r="29" spans="1:13" ht="20.100000000000001" customHeight="1" x14ac:dyDescent="0.4">
      <c r="A29" s="10" t="s">
        <v>20</v>
      </c>
      <c r="B29" s="17">
        <v>5</v>
      </c>
      <c r="C29" s="10" t="s">
        <v>26</v>
      </c>
      <c r="D29" s="11">
        <v>0</v>
      </c>
      <c r="E29" s="11">
        <v>160</v>
      </c>
      <c r="F29" s="11">
        <v>0</v>
      </c>
      <c r="G29" s="11">
        <v>0</v>
      </c>
      <c r="H29" s="11">
        <v>0</v>
      </c>
      <c r="I29" s="11">
        <v>750</v>
      </c>
      <c r="J29" s="11">
        <v>0</v>
      </c>
      <c r="K29" s="11">
        <v>0</v>
      </c>
      <c r="L29" s="11">
        <f t="shared" si="1"/>
        <v>910</v>
      </c>
      <c r="M29" s="12">
        <f>L29/3300</f>
        <v>0.27575757575757576</v>
      </c>
    </row>
    <row r="30" spans="1:13" ht="20.100000000000001" customHeight="1" x14ac:dyDescent="0.4">
      <c r="A30" s="10" t="s">
        <v>20</v>
      </c>
      <c r="B30" s="17">
        <v>6</v>
      </c>
      <c r="C30" s="10" t="s">
        <v>26</v>
      </c>
      <c r="D30" s="11">
        <v>0</v>
      </c>
      <c r="E30" s="11">
        <v>160</v>
      </c>
      <c r="F30" s="11">
        <v>570</v>
      </c>
      <c r="G30" s="11">
        <v>810</v>
      </c>
      <c r="H30" s="11">
        <v>1260</v>
      </c>
      <c r="I30" s="11">
        <v>350</v>
      </c>
      <c r="J30" s="11">
        <v>0</v>
      </c>
      <c r="K30" s="11">
        <v>0</v>
      </c>
      <c r="L30" s="11">
        <f t="shared" si="1"/>
        <v>3150</v>
      </c>
      <c r="M30" s="12">
        <f>L30/3300</f>
        <v>0.95454545454545459</v>
      </c>
    </row>
    <row r="31" spans="1:13" ht="20.100000000000001" customHeight="1" x14ac:dyDescent="0.4">
      <c r="A31" s="10" t="s">
        <v>20</v>
      </c>
      <c r="B31" s="17">
        <v>7</v>
      </c>
      <c r="C31" s="10" t="s">
        <v>26</v>
      </c>
      <c r="D31" s="11">
        <v>540</v>
      </c>
      <c r="E31" s="11">
        <v>230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f t="shared" si="1"/>
        <v>770</v>
      </c>
      <c r="M31" s="12">
        <f>L31/3300</f>
        <v>0.23333333333333334</v>
      </c>
    </row>
    <row r="32" spans="1:13" ht="20.100000000000001" customHeight="1" x14ac:dyDescent="0.4">
      <c r="A32" s="10" t="s">
        <v>20</v>
      </c>
      <c r="B32" s="17">
        <v>8</v>
      </c>
      <c r="C32" s="10" t="s">
        <v>26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f t="shared" si="1"/>
        <v>0</v>
      </c>
      <c r="M32" s="12">
        <f>L32/3300</f>
        <v>0</v>
      </c>
    </row>
    <row r="33" spans="1:13" ht="20.100000000000001" customHeight="1" x14ac:dyDescent="0.4">
      <c r="A33" s="10" t="s">
        <v>20</v>
      </c>
      <c r="B33" s="17">
        <v>9</v>
      </c>
      <c r="C33" s="10" t="s">
        <v>26</v>
      </c>
      <c r="D33" s="11">
        <v>0</v>
      </c>
      <c r="E33" s="11">
        <v>290</v>
      </c>
      <c r="F33" s="11">
        <v>0</v>
      </c>
      <c r="G33" s="11">
        <v>0</v>
      </c>
      <c r="H33" s="11">
        <v>0</v>
      </c>
      <c r="I33" s="11">
        <v>580</v>
      </c>
      <c r="J33" s="11">
        <v>0</v>
      </c>
      <c r="K33" s="11">
        <v>0</v>
      </c>
      <c r="L33" s="11">
        <f t="shared" si="1"/>
        <v>870</v>
      </c>
      <c r="M33" s="12">
        <f>L33/3300</f>
        <v>0.26363636363636361</v>
      </c>
    </row>
    <row r="34" spans="1:13" ht="20.100000000000001" customHeight="1" x14ac:dyDescent="0.4">
      <c r="A34" s="10" t="s">
        <v>20</v>
      </c>
      <c r="B34" s="17">
        <v>10</v>
      </c>
      <c r="C34" s="10" t="s">
        <v>26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f t="shared" si="1"/>
        <v>0</v>
      </c>
      <c r="M34" s="12">
        <f>L34/3300</f>
        <v>0</v>
      </c>
    </row>
    <row r="35" spans="1:13" ht="20.100000000000001" customHeight="1" x14ac:dyDescent="0.4">
      <c r="A35" s="10" t="s">
        <v>20</v>
      </c>
      <c r="B35" s="17">
        <v>11</v>
      </c>
      <c r="C35" s="10" t="s">
        <v>27</v>
      </c>
      <c r="D35" s="11">
        <v>0</v>
      </c>
      <c r="E35" s="11">
        <v>130</v>
      </c>
      <c r="F35" s="11">
        <v>0</v>
      </c>
      <c r="G35" s="11">
        <v>0</v>
      </c>
      <c r="H35" s="11">
        <v>0</v>
      </c>
      <c r="I35" s="11">
        <f>230+560</f>
        <v>790</v>
      </c>
      <c r="J35" s="11">
        <v>1290</v>
      </c>
      <c r="K35" s="11">
        <v>7510</v>
      </c>
      <c r="L35" s="11">
        <f t="shared" si="1"/>
        <v>9720</v>
      </c>
      <c r="M35" s="12">
        <f>L35/3300</f>
        <v>2.9454545454545453</v>
      </c>
    </row>
    <row r="36" spans="1:13" ht="20.100000000000001" customHeight="1" x14ac:dyDescent="0.4">
      <c r="A36" s="10" t="s">
        <v>20</v>
      </c>
      <c r="B36" s="17">
        <v>12</v>
      </c>
      <c r="C36" s="10" t="s">
        <v>26</v>
      </c>
      <c r="D36" s="11">
        <v>250</v>
      </c>
      <c r="E36" s="11">
        <v>150</v>
      </c>
      <c r="F36" s="11">
        <v>650</v>
      </c>
      <c r="G36" s="11">
        <v>630</v>
      </c>
      <c r="H36" s="11">
        <v>990</v>
      </c>
      <c r="I36" s="11">
        <v>330</v>
      </c>
      <c r="J36" s="11">
        <v>0</v>
      </c>
      <c r="K36" s="11">
        <v>0</v>
      </c>
      <c r="L36" s="11">
        <f t="shared" si="1"/>
        <v>3000</v>
      </c>
      <c r="M36" s="12">
        <f>L36/3300</f>
        <v>0.90909090909090906</v>
      </c>
    </row>
    <row r="37" spans="1:13" ht="20.100000000000001" customHeight="1" x14ac:dyDescent="0.4">
      <c r="A37" s="10" t="s">
        <v>21</v>
      </c>
      <c r="B37" s="17">
        <v>1</v>
      </c>
      <c r="C37" s="10" t="s">
        <v>27</v>
      </c>
      <c r="D37" s="11">
        <v>240</v>
      </c>
      <c r="E37" s="11">
        <v>110</v>
      </c>
      <c r="F37" s="11">
        <v>0</v>
      </c>
      <c r="G37" s="11">
        <v>0</v>
      </c>
      <c r="H37" s="11">
        <v>0</v>
      </c>
      <c r="I37" s="11">
        <v>470</v>
      </c>
      <c r="J37" s="11">
        <v>0</v>
      </c>
      <c r="K37" s="11">
        <v>0</v>
      </c>
      <c r="L37" s="11">
        <f t="shared" si="1"/>
        <v>820</v>
      </c>
      <c r="M37" s="12">
        <f>L37/3300</f>
        <v>0.24848484848484848</v>
      </c>
    </row>
    <row r="38" spans="1:13" ht="20.100000000000001" customHeight="1" x14ac:dyDescent="0.4">
      <c r="A38" s="10" t="s">
        <v>21</v>
      </c>
      <c r="B38" s="17">
        <v>2</v>
      </c>
      <c r="C38" s="10" t="s">
        <v>26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f t="shared" si="1"/>
        <v>0</v>
      </c>
      <c r="M38" s="12">
        <f>L38/3300</f>
        <v>0</v>
      </c>
    </row>
    <row r="39" spans="1:13" ht="20.100000000000001" customHeight="1" x14ac:dyDescent="0.4">
      <c r="A39" s="10" t="s">
        <v>21</v>
      </c>
      <c r="B39" s="17">
        <v>3</v>
      </c>
      <c r="C39" s="10" t="s">
        <v>26</v>
      </c>
      <c r="D39" s="11">
        <v>240</v>
      </c>
      <c r="E39" s="11">
        <v>130</v>
      </c>
      <c r="F39" s="11">
        <v>810</v>
      </c>
      <c r="G39" s="11">
        <v>740</v>
      </c>
      <c r="H39" s="11">
        <v>1190</v>
      </c>
      <c r="I39" s="11">
        <f>350+330</f>
        <v>680</v>
      </c>
      <c r="J39" s="11">
        <v>1090</v>
      </c>
      <c r="K39" s="11">
        <v>4450</v>
      </c>
      <c r="L39" s="11">
        <f t="shared" si="1"/>
        <v>9330</v>
      </c>
      <c r="M39" s="12">
        <f>L39/3300</f>
        <v>2.8272727272727272</v>
      </c>
    </row>
    <row r="40" spans="1:13" ht="20.100000000000001" customHeight="1" x14ac:dyDescent="0.4">
      <c r="A40" s="10" t="s">
        <v>21</v>
      </c>
      <c r="B40" s="17">
        <v>4</v>
      </c>
      <c r="C40" s="10" t="s">
        <v>26</v>
      </c>
      <c r="D40" s="11">
        <v>0</v>
      </c>
      <c r="E40" s="11">
        <v>200</v>
      </c>
      <c r="F40" s="11">
        <v>0</v>
      </c>
      <c r="G40" s="11">
        <v>0</v>
      </c>
      <c r="H40" s="11">
        <v>0</v>
      </c>
      <c r="I40" s="11">
        <v>1730</v>
      </c>
      <c r="J40" s="11">
        <v>0</v>
      </c>
      <c r="K40" s="11">
        <v>0</v>
      </c>
      <c r="L40" s="11">
        <f t="shared" si="1"/>
        <v>1930</v>
      </c>
      <c r="M40" s="12">
        <f>L40/3300</f>
        <v>0.58484848484848484</v>
      </c>
    </row>
    <row r="41" spans="1:13" ht="20.100000000000001" customHeight="1" x14ac:dyDescent="0.4">
      <c r="A41" s="10" t="s">
        <v>21</v>
      </c>
      <c r="B41" s="17">
        <v>5</v>
      </c>
      <c r="C41" s="10" t="s">
        <v>26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f t="shared" si="1"/>
        <v>0</v>
      </c>
      <c r="M41" s="12">
        <f>L41/3300</f>
        <v>0</v>
      </c>
    </row>
    <row r="42" spans="1:13" ht="20.100000000000001" customHeight="1" x14ac:dyDescent="0.4">
      <c r="A42" s="10" t="s">
        <v>21</v>
      </c>
      <c r="B42" s="17">
        <v>6</v>
      </c>
      <c r="C42" s="10" t="s">
        <v>29</v>
      </c>
      <c r="D42" s="11">
        <v>310</v>
      </c>
      <c r="E42" s="11">
        <v>170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f t="shared" si="1"/>
        <v>480</v>
      </c>
      <c r="M42" s="12">
        <f>L42/3300</f>
        <v>0.14545454545454545</v>
      </c>
    </row>
    <row r="43" spans="1:13" ht="20.100000000000001" customHeight="1" x14ac:dyDescent="0.4">
      <c r="A43" s="10" t="s">
        <v>21</v>
      </c>
      <c r="B43" s="17">
        <v>7</v>
      </c>
      <c r="C43" s="10" t="s">
        <v>26</v>
      </c>
      <c r="D43" s="11">
        <v>0</v>
      </c>
      <c r="E43" s="11">
        <v>170</v>
      </c>
      <c r="F43" s="11">
        <v>0</v>
      </c>
      <c r="G43" s="11">
        <v>0</v>
      </c>
      <c r="H43" s="11">
        <v>0</v>
      </c>
      <c r="I43" s="11">
        <v>870</v>
      </c>
      <c r="J43" s="11">
        <v>0</v>
      </c>
      <c r="K43" s="11">
        <v>0</v>
      </c>
      <c r="L43" s="11">
        <f t="shared" si="1"/>
        <v>1040</v>
      </c>
      <c r="M43" s="12">
        <f>L43/3300</f>
        <v>0.31515151515151513</v>
      </c>
    </row>
    <row r="44" spans="1:13" ht="20.100000000000001" customHeight="1" x14ac:dyDescent="0.4">
      <c r="A44" s="10" t="s">
        <v>21</v>
      </c>
      <c r="B44" s="17">
        <v>8</v>
      </c>
      <c r="C44" s="10" t="s">
        <v>26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f t="shared" si="1"/>
        <v>0</v>
      </c>
      <c r="M44" s="12">
        <f>L44/3300</f>
        <v>0</v>
      </c>
    </row>
    <row r="45" spans="1:13" ht="20.100000000000001" customHeight="1" x14ac:dyDescent="0.4">
      <c r="A45" s="10" t="s">
        <v>21</v>
      </c>
      <c r="B45" s="17">
        <v>9</v>
      </c>
      <c r="C45" s="10" t="s">
        <v>26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f t="shared" si="1"/>
        <v>0</v>
      </c>
      <c r="M45" s="12">
        <f>L45/3300</f>
        <v>0</v>
      </c>
    </row>
    <row r="46" spans="1:13" ht="20.100000000000001" customHeight="1" x14ac:dyDescent="0.4">
      <c r="A46" s="10" t="s">
        <v>21</v>
      </c>
      <c r="B46" s="17">
        <v>10</v>
      </c>
      <c r="C46" s="10" t="s">
        <v>26</v>
      </c>
      <c r="D46" s="11">
        <v>0</v>
      </c>
      <c r="E46" s="11">
        <v>140</v>
      </c>
      <c r="F46" s="11">
        <v>0</v>
      </c>
      <c r="G46" s="11">
        <v>0</v>
      </c>
      <c r="H46" s="11">
        <v>0</v>
      </c>
      <c r="I46" s="11">
        <v>860</v>
      </c>
      <c r="J46" s="11">
        <v>0</v>
      </c>
      <c r="K46" s="11">
        <v>0</v>
      </c>
      <c r="L46" s="11">
        <f t="shared" si="1"/>
        <v>1000</v>
      </c>
      <c r="M46" s="12">
        <f>L46/3300</f>
        <v>0.30303030303030304</v>
      </c>
    </row>
    <row r="47" spans="1:13" ht="20.100000000000001" customHeight="1" x14ac:dyDescent="0.4">
      <c r="A47" s="10" t="s">
        <v>21</v>
      </c>
      <c r="B47" s="17">
        <v>11</v>
      </c>
      <c r="C47" s="10" t="s">
        <v>26</v>
      </c>
      <c r="D47" s="11">
        <v>320</v>
      </c>
      <c r="E47" s="11">
        <v>170</v>
      </c>
      <c r="F47" s="11">
        <v>570</v>
      </c>
      <c r="G47" s="11">
        <v>1000</v>
      </c>
      <c r="H47" s="11">
        <v>1730</v>
      </c>
      <c r="I47" s="11">
        <v>520</v>
      </c>
      <c r="J47" s="11">
        <v>0</v>
      </c>
      <c r="K47" s="11">
        <v>0</v>
      </c>
      <c r="L47" s="11">
        <f t="shared" si="1"/>
        <v>4310</v>
      </c>
      <c r="M47" s="12">
        <f>L47/3300</f>
        <v>1.3060606060606061</v>
      </c>
    </row>
    <row r="48" spans="1:13" ht="20.100000000000001" customHeight="1" x14ac:dyDescent="0.4">
      <c r="A48" s="10" t="s">
        <v>21</v>
      </c>
      <c r="B48" s="17">
        <v>12</v>
      </c>
      <c r="C48" s="10" t="s">
        <v>26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f t="shared" si="1"/>
        <v>0</v>
      </c>
      <c r="M48" s="12">
        <f>L48/3300</f>
        <v>0</v>
      </c>
    </row>
  </sheetData>
  <autoFilter ref="A11:M48" xr:uid="{895FE65D-4A9F-4F53-8935-937B88396341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10">
    <mergeCell ref="L11:L12"/>
    <mergeCell ref="M11:M12"/>
    <mergeCell ref="A1:D2"/>
    <mergeCell ref="B5:C5"/>
    <mergeCell ref="B9:C9"/>
    <mergeCell ref="B10:C10"/>
    <mergeCell ref="A11:A12"/>
    <mergeCell ref="B11:B12"/>
    <mergeCell ref="C11:C12"/>
    <mergeCell ref="D11:K11"/>
  </mergeCells>
  <phoneticPr fontId="1"/>
  <conditionalFormatting sqref="C13:C48">
    <cfRule type="cellIs" dxfId="15" priority="5" operator="equal">
      <formula>"見送り"</formula>
    </cfRule>
    <cfRule type="cellIs" dxfId="14" priority="6" operator="equal">
      <formula>"穴"</formula>
    </cfRule>
    <cfRule type="cellIs" dxfId="13" priority="7" operator="equal">
      <formula>"中穴"</formula>
    </cfRule>
    <cfRule type="cellIs" dxfId="12" priority="8" operator="equal">
      <formula>"本命"</formula>
    </cfRule>
  </conditionalFormatting>
  <conditionalFormatting sqref="M13:M48">
    <cfRule type="cellIs" dxfId="11" priority="3" operator="greaterThanOrEqual">
      <formula>100</formula>
    </cfRule>
    <cfRule type="cellIs" dxfId="10" priority="4" operator="lessThan">
      <formula>100</formula>
    </cfRule>
  </conditionalFormatting>
  <conditionalFormatting sqref="D10:K10">
    <cfRule type="cellIs" dxfId="9" priority="1" operator="greaterThanOrEqual">
      <formula>1</formula>
    </cfRule>
    <cfRule type="cellIs" dxfId="8" priority="2" operator="lessThan">
      <formula>1</formula>
    </cfRule>
  </conditionalFormatting>
  <dataValidations count="2">
    <dataValidation type="list" allowBlank="1" showInputMessage="1" showErrorMessage="1" sqref="A13:A48" xr:uid="{63788450-27BD-4175-AFBD-6141DC811214}">
      <formula1>"東京,中山,京都,阪神,中京"</formula1>
    </dataValidation>
    <dataValidation type="list" allowBlank="1" showInputMessage="1" showErrorMessage="1" sqref="C13:C48" xr:uid="{87E5DC80-B2FE-45D2-A4A9-83AF40930B98}">
      <formula1>"本命,中穴,穴,見送り"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ABBD9-E4E5-464D-9265-F2A90F6EA3F3}">
  <dimension ref="A1:M48"/>
  <sheetViews>
    <sheetView workbookViewId="0">
      <pane ySplit="12" topLeftCell="A13" activePane="bottomLeft" state="frozen"/>
      <selection pane="bottomLeft" sqref="A1:D2"/>
    </sheetView>
  </sheetViews>
  <sheetFormatPr defaultRowHeight="18.75" x14ac:dyDescent="0.4"/>
  <cols>
    <col min="1" max="3" width="8.125" customWidth="1"/>
  </cols>
  <sheetData>
    <row r="1" spans="1:13" ht="19.5" thickTop="1" x14ac:dyDescent="0.4">
      <c r="A1" s="18" t="s">
        <v>22</v>
      </c>
      <c r="B1" s="18"/>
      <c r="C1" s="18"/>
      <c r="D1" s="18"/>
      <c r="F1" s="1" t="s">
        <v>25</v>
      </c>
      <c r="G1" s="2"/>
      <c r="H1" s="2"/>
      <c r="I1" s="2"/>
      <c r="J1" s="2"/>
      <c r="K1" s="2"/>
      <c r="L1" s="3"/>
    </row>
    <row r="2" spans="1:13" x14ac:dyDescent="0.4">
      <c r="A2" s="18"/>
      <c r="B2" s="18"/>
      <c r="C2" s="18"/>
      <c r="D2" s="18"/>
      <c r="F2" s="4" t="s">
        <v>12</v>
      </c>
      <c r="G2" s="5"/>
      <c r="H2" s="5"/>
      <c r="I2" s="5"/>
      <c r="J2" s="5"/>
      <c r="K2" s="5"/>
      <c r="L2" s="6"/>
    </row>
    <row r="3" spans="1:13" x14ac:dyDescent="0.4">
      <c r="F3" s="4" t="s">
        <v>13</v>
      </c>
      <c r="G3" s="5"/>
      <c r="H3" s="5"/>
      <c r="I3" s="5"/>
      <c r="J3" s="5"/>
      <c r="K3" s="5"/>
      <c r="L3" s="6"/>
    </row>
    <row r="4" spans="1:13" x14ac:dyDescent="0.4">
      <c r="A4" t="s">
        <v>30</v>
      </c>
      <c r="F4" s="4" t="s">
        <v>14</v>
      </c>
      <c r="G4" s="5"/>
      <c r="H4" s="5"/>
      <c r="I4" s="5"/>
      <c r="J4" s="5"/>
      <c r="K4" s="5"/>
      <c r="L4" s="6"/>
    </row>
    <row r="5" spans="1:13" x14ac:dyDescent="0.4">
      <c r="B5" s="37">
        <v>46011</v>
      </c>
      <c r="C5" s="37"/>
      <c r="F5" s="4" t="s">
        <v>15</v>
      </c>
      <c r="G5" s="5"/>
      <c r="H5" s="5"/>
      <c r="I5" s="5"/>
      <c r="J5" s="5"/>
      <c r="K5" s="5"/>
      <c r="L5" s="6"/>
    </row>
    <row r="6" spans="1:13" x14ac:dyDescent="0.4">
      <c r="F6" s="4" t="s">
        <v>16</v>
      </c>
      <c r="G6" s="5"/>
      <c r="H6" s="5"/>
      <c r="I6" s="5"/>
      <c r="J6" s="5"/>
      <c r="K6" s="5"/>
      <c r="L6" s="6"/>
    </row>
    <row r="7" spans="1:13" ht="19.5" thickBot="1" x14ac:dyDescent="0.45">
      <c r="F7" s="7" t="s">
        <v>31</v>
      </c>
      <c r="G7" s="8"/>
      <c r="H7" s="8"/>
      <c r="I7" s="8"/>
      <c r="J7" s="8"/>
      <c r="K7" s="8"/>
      <c r="L7" s="9"/>
    </row>
    <row r="8" spans="1:13" ht="9.9499999999999993" customHeight="1" thickTop="1" thickBot="1" x14ac:dyDescent="0.45">
      <c r="F8" s="5"/>
      <c r="G8" s="5"/>
      <c r="H8" s="5"/>
      <c r="I8" s="5"/>
      <c r="J8" s="5"/>
      <c r="K8" s="5"/>
      <c r="L8" s="5"/>
    </row>
    <row r="9" spans="1:13" ht="20.100000000000001" customHeight="1" x14ac:dyDescent="0.4">
      <c r="B9" s="25" t="s">
        <v>23</v>
      </c>
      <c r="C9" s="26"/>
      <c r="D9" s="19">
        <f>SUM(D13:D48)</f>
        <v>2160</v>
      </c>
      <c r="E9" s="20">
        <f t="shared" ref="E9:K9" si="0">SUM(E13:E48)</f>
        <v>2730</v>
      </c>
      <c r="F9" s="20">
        <f t="shared" si="0"/>
        <v>5560</v>
      </c>
      <c r="G9" s="20">
        <f t="shared" si="0"/>
        <v>8090</v>
      </c>
      <c r="H9" s="20">
        <f t="shared" si="0"/>
        <v>17910</v>
      </c>
      <c r="I9" s="20">
        <f t="shared" si="0"/>
        <v>7900</v>
      </c>
      <c r="J9" s="20">
        <f t="shared" si="0"/>
        <v>6700</v>
      </c>
      <c r="K9" s="21">
        <f t="shared" si="0"/>
        <v>52500</v>
      </c>
      <c r="L9" s="5"/>
    </row>
    <row r="10" spans="1:13" ht="20.100000000000001" customHeight="1" thickBot="1" x14ac:dyDescent="0.45">
      <c r="B10" s="27" t="s">
        <v>24</v>
      </c>
      <c r="C10" s="28"/>
      <c r="D10" s="22">
        <f>D9/3600</f>
        <v>0.6</v>
      </c>
      <c r="E10" s="23">
        <f>E9/3600</f>
        <v>0.7583333333333333</v>
      </c>
      <c r="F10" s="23">
        <f>F9/(3600*3)</f>
        <v>0.51481481481481484</v>
      </c>
      <c r="G10" s="23">
        <f>G9/(3600*3)</f>
        <v>0.74907407407407411</v>
      </c>
      <c r="H10" s="23">
        <f>H9/(3600*6)</f>
        <v>0.82916666666666672</v>
      </c>
      <c r="I10" s="23">
        <f>I9/(3600*2)</f>
        <v>1.0972222222222223</v>
      </c>
      <c r="J10" s="23">
        <f>J9/(3600*3)</f>
        <v>0.62037037037037035</v>
      </c>
      <c r="K10" s="24">
        <f>K9/(3600*18)</f>
        <v>0.81018518518518523</v>
      </c>
    </row>
    <row r="11" spans="1:13" ht="20.100000000000001" customHeight="1" x14ac:dyDescent="0.4">
      <c r="A11" s="29" t="s">
        <v>10</v>
      </c>
      <c r="B11" s="30" t="s">
        <v>9</v>
      </c>
      <c r="C11" s="30" t="s">
        <v>11</v>
      </c>
      <c r="D11" s="31" t="s">
        <v>8</v>
      </c>
      <c r="E11" s="31"/>
      <c r="F11" s="31"/>
      <c r="G11" s="31"/>
      <c r="H11" s="31"/>
      <c r="I11" s="31"/>
      <c r="J11" s="31"/>
      <c r="K11" s="31"/>
      <c r="L11" s="31" t="s">
        <v>17</v>
      </c>
      <c r="M11" s="32" t="s">
        <v>18</v>
      </c>
    </row>
    <row r="12" spans="1:13" ht="20.100000000000001" customHeight="1" thickBot="1" x14ac:dyDescent="0.45">
      <c r="A12" s="33"/>
      <c r="B12" s="34"/>
      <c r="C12" s="34"/>
      <c r="D12" s="35" t="s">
        <v>0</v>
      </c>
      <c r="E12" s="35" t="s">
        <v>1</v>
      </c>
      <c r="F12" s="35" t="s">
        <v>2</v>
      </c>
      <c r="G12" s="35" t="s">
        <v>3</v>
      </c>
      <c r="H12" s="35" t="s">
        <v>4</v>
      </c>
      <c r="I12" s="35" t="s">
        <v>5</v>
      </c>
      <c r="J12" s="35" t="s">
        <v>7</v>
      </c>
      <c r="K12" s="35" t="s">
        <v>6</v>
      </c>
      <c r="L12" s="34"/>
      <c r="M12" s="36"/>
    </row>
    <row r="13" spans="1:13" ht="20.100000000000001" customHeight="1" x14ac:dyDescent="0.4">
      <c r="A13" s="15" t="s">
        <v>19</v>
      </c>
      <c r="B13" s="16">
        <v>1</v>
      </c>
      <c r="C13" s="15" t="s">
        <v>26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f>SUM(D13:K13)</f>
        <v>0</v>
      </c>
      <c r="M13" s="14">
        <f>L13/3300</f>
        <v>0</v>
      </c>
    </row>
    <row r="14" spans="1:13" ht="20.100000000000001" customHeight="1" x14ac:dyDescent="0.4">
      <c r="A14" s="15" t="s">
        <v>19</v>
      </c>
      <c r="B14" s="17">
        <v>2</v>
      </c>
      <c r="C14" s="10" t="s">
        <v>26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f t="shared" ref="L14:L20" si="1">SUM(D14:K14)</f>
        <v>0</v>
      </c>
      <c r="M14" s="12">
        <f>L14/3300</f>
        <v>0</v>
      </c>
    </row>
    <row r="15" spans="1:13" ht="20.100000000000001" customHeight="1" x14ac:dyDescent="0.4">
      <c r="A15" s="15" t="s">
        <v>19</v>
      </c>
      <c r="B15" s="17">
        <v>3</v>
      </c>
      <c r="C15" s="10" t="s">
        <v>27</v>
      </c>
      <c r="D15" s="11">
        <v>260</v>
      </c>
      <c r="E15" s="11">
        <v>120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f t="shared" si="1"/>
        <v>380</v>
      </c>
      <c r="M15" s="12">
        <f>L15/3300</f>
        <v>0.11515151515151516</v>
      </c>
    </row>
    <row r="16" spans="1:13" ht="20.100000000000001" customHeight="1" x14ac:dyDescent="0.4">
      <c r="A16" s="15" t="s">
        <v>19</v>
      </c>
      <c r="B16" s="17">
        <v>4</v>
      </c>
      <c r="C16" s="10" t="s">
        <v>27</v>
      </c>
      <c r="D16" s="11">
        <v>0</v>
      </c>
      <c r="E16" s="11">
        <v>120</v>
      </c>
      <c r="F16" s="11">
        <v>1540</v>
      </c>
      <c r="G16" s="11">
        <v>1690</v>
      </c>
      <c r="H16" s="11">
        <v>3970</v>
      </c>
      <c r="I16" s="11">
        <f>420+170</f>
        <v>590</v>
      </c>
      <c r="J16" s="11">
        <v>760</v>
      </c>
      <c r="K16" s="11">
        <v>8670</v>
      </c>
      <c r="L16" s="11">
        <f t="shared" si="1"/>
        <v>17340</v>
      </c>
      <c r="M16" s="12">
        <f>L16/3300</f>
        <v>5.2545454545454549</v>
      </c>
    </row>
    <row r="17" spans="1:13" ht="20.100000000000001" customHeight="1" x14ac:dyDescent="0.4">
      <c r="A17" s="15" t="s">
        <v>19</v>
      </c>
      <c r="B17" s="17">
        <v>5</v>
      </c>
      <c r="C17" s="10" t="s">
        <v>27</v>
      </c>
      <c r="D17" s="11">
        <v>230</v>
      </c>
      <c r="E17" s="11">
        <v>130</v>
      </c>
      <c r="F17" s="11">
        <v>520</v>
      </c>
      <c r="G17" s="11">
        <v>470</v>
      </c>
      <c r="H17" s="11">
        <v>740</v>
      </c>
      <c r="I17" s="11">
        <f>230+600</f>
        <v>830</v>
      </c>
      <c r="J17" s="11">
        <v>1690</v>
      </c>
      <c r="K17" s="11">
        <v>4720</v>
      </c>
      <c r="L17" s="11">
        <f t="shared" si="1"/>
        <v>9330</v>
      </c>
      <c r="M17" s="12">
        <f>L17/3300</f>
        <v>2.8272727272727272</v>
      </c>
    </row>
    <row r="18" spans="1:13" ht="20.100000000000001" customHeight="1" x14ac:dyDescent="0.4">
      <c r="A18" s="15" t="s">
        <v>19</v>
      </c>
      <c r="B18" s="17">
        <v>6</v>
      </c>
      <c r="C18" s="10" t="s">
        <v>26</v>
      </c>
      <c r="D18" s="11">
        <v>0</v>
      </c>
      <c r="E18" s="11">
        <v>410</v>
      </c>
      <c r="F18" s="11">
        <v>0</v>
      </c>
      <c r="G18" s="11">
        <v>0</v>
      </c>
      <c r="H18" s="11">
        <v>0</v>
      </c>
      <c r="I18" s="11">
        <v>1190</v>
      </c>
      <c r="J18" s="11">
        <v>0</v>
      </c>
      <c r="K18" s="11">
        <v>0</v>
      </c>
      <c r="L18" s="11">
        <f t="shared" si="1"/>
        <v>1600</v>
      </c>
      <c r="M18" s="12">
        <f>L18/3300</f>
        <v>0.48484848484848486</v>
      </c>
    </row>
    <row r="19" spans="1:13" ht="20.100000000000001" customHeight="1" x14ac:dyDescent="0.4">
      <c r="A19" s="15" t="s">
        <v>19</v>
      </c>
      <c r="B19" s="17">
        <v>7</v>
      </c>
      <c r="C19" s="10" t="s">
        <v>26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f t="shared" si="1"/>
        <v>0</v>
      </c>
      <c r="M19" s="12">
        <f>L19/3300</f>
        <v>0</v>
      </c>
    </row>
    <row r="20" spans="1:13" ht="20.100000000000001" customHeight="1" x14ac:dyDescent="0.4">
      <c r="A20" s="15" t="s">
        <v>19</v>
      </c>
      <c r="B20" s="17">
        <v>8</v>
      </c>
      <c r="C20" s="10" t="s">
        <v>27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f t="shared" si="1"/>
        <v>0</v>
      </c>
      <c r="M20" s="12">
        <f>L20/3300</f>
        <v>0</v>
      </c>
    </row>
    <row r="21" spans="1:13" ht="20.100000000000001" customHeight="1" x14ac:dyDescent="0.4">
      <c r="A21" s="15" t="s">
        <v>19</v>
      </c>
      <c r="B21" s="17">
        <v>9</v>
      </c>
      <c r="C21" s="10" t="s">
        <v>28</v>
      </c>
      <c r="D21" s="11">
        <v>0</v>
      </c>
      <c r="E21" s="11">
        <v>240</v>
      </c>
      <c r="F21" s="11">
        <v>0</v>
      </c>
      <c r="G21" s="11">
        <v>0</v>
      </c>
      <c r="H21" s="11">
        <v>0</v>
      </c>
      <c r="I21" s="11">
        <v>910</v>
      </c>
      <c r="J21" s="11">
        <v>0</v>
      </c>
      <c r="K21" s="11">
        <v>0</v>
      </c>
      <c r="L21" s="11">
        <f t="shared" ref="L21:L46" si="2">SUM(D21:K21)</f>
        <v>1150</v>
      </c>
      <c r="M21" s="12">
        <f>L21/3300</f>
        <v>0.34848484848484851</v>
      </c>
    </row>
    <row r="22" spans="1:13" ht="20.100000000000001" customHeight="1" x14ac:dyDescent="0.4">
      <c r="A22" s="15" t="s">
        <v>19</v>
      </c>
      <c r="B22" s="17">
        <v>10</v>
      </c>
      <c r="C22" s="10" t="s">
        <v>26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f t="shared" si="2"/>
        <v>0</v>
      </c>
      <c r="M22" s="12">
        <f>L22/3300</f>
        <v>0</v>
      </c>
    </row>
    <row r="23" spans="1:13" ht="20.100000000000001" customHeight="1" x14ac:dyDescent="0.4">
      <c r="A23" s="15" t="s">
        <v>19</v>
      </c>
      <c r="B23" s="17">
        <v>11</v>
      </c>
      <c r="C23" s="10" t="s">
        <v>29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f t="shared" si="2"/>
        <v>0</v>
      </c>
      <c r="M23" s="12">
        <f>L23/3300</f>
        <v>0</v>
      </c>
    </row>
    <row r="24" spans="1:13" ht="20.100000000000001" customHeight="1" x14ac:dyDescent="0.4">
      <c r="A24" s="15" t="s">
        <v>19</v>
      </c>
      <c r="B24" s="17">
        <v>12</v>
      </c>
      <c r="C24" s="10" t="s">
        <v>26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f t="shared" si="2"/>
        <v>0</v>
      </c>
      <c r="M24" s="12">
        <f>L24/3300</f>
        <v>0</v>
      </c>
    </row>
    <row r="25" spans="1:13" ht="20.100000000000001" customHeight="1" x14ac:dyDescent="0.4">
      <c r="A25" s="10" t="s">
        <v>20</v>
      </c>
      <c r="B25" s="16">
        <v>1</v>
      </c>
      <c r="C25" s="10" t="s">
        <v>26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f t="shared" si="2"/>
        <v>0</v>
      </c>
      <c r="M25" s="12">
        <f>L25/3300</f>
        <v>0</v>
      </c>
    </row>
    <row r="26" spans="1:13" ht="20.100000000000001" customHeight="1" x14ac:dyDescent="0.4">
      <c r="A26" s="10" t="s">
        <v>20</v>
      </c>
      <c r="B26" s="17">
        <v>2</v>
      </c>
      <c r="C26" s="10" t="s">
        <v>27</v>
      </c>
      <c r="D26" s="11">
        <v>0</v>
      </c>
      <c r="E26" s="11">
        <v>110</v>
      </c>
      <c r="F26" s="11">
        <v>0</v>
      </c>
      <c r="G26" s="11">
        <v>0</v>
      </c>
      <c r="H26" s="11">
        <v>0</v>
      </c>
      <c r="I26" s="11">
        <f>130+310</f>
        <v>440</v>
      </c>
      <c r="J26" s="11">
        <v>450</v>
      </c>
      <c r="K26" s="11">
        <v>1990</v>
      </c>
      <c r="L26" s="11">
        <f t="shared" si="2"/>
        <v>2990</v>
      </c>
      <c r="M26" s="12">
        <f>L26/3300</f>
        <v>0.90606060606060601</v>
      </c>
    </row>
    <row r="27" spans="1:13" ht="20.100000000000001" customHeight="1" x14ac:dyDescent="0.4">
      <c r="A27" s="10" t="s">
        <v>20</v>
      </c>
      <c r="B27" s="17">
        <v>3</v>
      </c>
      <c r="C27" s="10" t="s">
        <v>26</v>
      </c>
      <c r="D27" s="11">
        <v>0</v>
      </c>
      <c r="E27" s="11">
        <v>150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f t="shared" si="2"/>
        <v>150</v>
      </c>
      <c r="M27" s="12">
        <f>L27/3300</f>
        <v>4.5454545454545456E-2</v>
      </c>
    </row>
    <row r="28" spans="1:13" ht="20.100000000000001" customHeight="1" x14ac:dyDescent="0.4">
      <c r="A28" s="10" t="s">
        <v>20</v>
      </c>
      <c r="B28" s="17">
        <v>4</v>
      </c>
      <c r="C28" s="10" t="s">
        <v>26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f t="shared" si="2"/>
        <v>0</v>
      </c>
      <c r="M28" s="12">
        <f>L28/3300</f>
        <v>0</v>
      </c>
    </row>
    <row r="29" spans="1:13" ht="20.100000000000001" customHeight="1" x14ac:dyDescent="0.4">
      <c r="A29" s="10" t="s">
        <v>20</v>
      </c>
      <c r="B29" s="17">
        <v>5</v>
      </c>
      <c r="C29" s="10" t="s">
        <v>26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f t="shared" si="2"/>
        <v>0</v>
      </c>
      <c r="M29" s="12">
        <f>L29/3300</f>
        <v>0</v>
      </c>
    </row>
    <row r="30" spans="1:13" ht="20.100000000000001" customHeight="1" x14ac:dyDescent="0.4">
      <c r="A30" s="10" t="s">
        <v>20</v>
      </c>
      <c r="B30" s="17">
        <v>6</v>
      </c>
      <c r="C30" s="10" t="s">
        <v>26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f t="shared" si="2"/>
        <v>0</v>
      </c>
      <c r="M30" s="12">
        <f>L30/3300</f>
        <v>0</v>
      </c>
    </row>
    <row r="31" spans="1:13" ht="20.100000000000001" customHeight="1" x14ac:dyDescent="0.4">
      <c r="A31" s="10" t="s">
        <v>20</v>
      </c>
      <c r="B31" s="17">
        <v>7</v>
      </c>
      <c r="C31" s="10" t="s">
        <v>27</v>
      </c>
      <c r="D31" s="11">
        <v>150</v>
      </c>
      <c r="E31" s="11">
        <v>110</v>
      </c>
      <c r="F31" s="11">
        <v>0</v>
      </c>
      <c r="G31" s="11">
        <v>0</v>
      </c>
      <c r="H31" s="11">
        <v>0</v>
      </c>
      <c r="I31" s="11">
        <v>220</v>
      </c>
      <c r="J31" s="11">
        <v>0</v>
      </c>
      <c r="K31" s="11">
        <v>0</v>
      </c>
      <c r="L31" s="11">
        <f t="shared" si="2"/>
        <v>480</v>
      </c>
      <c r="M31" s="12">
        <f>L31/3300</f>
        <v>0.14545454545454545</v>
      </c>
    </row>
    <row r="32" spans="1:13" ht="20.100000000000001" customHeight="1" x14ac:dyDescent="0.4">
      <c r="A32" s="10" t="s">
        <v>20</v>
      </c>
      <c r="B32" s="17">
        <v>8</v>
      </c>
      <c r="C32" s="10" t="s">
        <v>26</v>
      </c>
      <c r="D32" s="11">
        <v>0</v>
      </c>
      <c r="E32" s="11">
        <v>130</v>
      </c>
      <c r="F32" s="11">
        <v>380</v>
      </c>
      <c r="G32" s="11">
        <v>740</v>
      </c>
      <c r="H32" s="11">
        <v>1850</v>
      </c>
      <c r="I32" s="11">
        <v>330</v>
      </c>
      <c r="J32" s="11">
        <v>0</v>
      </c>
      <c r="K32" s="11">
        <v>0</v>
      </c>
      <c r="L32" s="11">
        <f t="shared" si="2"/>
        <v>3430</v>
      </c>
      <c r="M32" s="12">
        <f>L32/3300</f>
        <v>1.0393939393939393</v>
      </c>
    </row>
    <row r="33" spans="1:13" ht="20.100000000000001" customHeight="1" x14ac:dyDescent="0.4">
      <c r="A33" s="10" t="s">
        <v>20</v>
      </c>
      <c r="B33" s="17">
        <v>9</v>
      </c>
      <c r="C33" s="10" t="s">
        <v>27</v>
      </c>
      <c r="D33" s="11">
        <v>0</v>
      </c>
      <c r="E33" s="11">
        <v>140</v>
      </c>
      <c r="F33" s="11">
        <v>1440</v>
      </c>
      <c r="G33" s="11">
        <v>2680</v>
      </c>
      <c r="H33" s="11">
        <v>5860</v>
      </c>
      <c r="I33" s="11">
        <v>870</v>
      </c>
      <c r="J33" s="11">
        <v>0</v>
      </c>
      <c r="K33" s="11">
        <v>0</v>
      </c>
      <c r="L33" s="11">
        <f t="shared" si="2"/>
        <v>10990</v>
      </c>
      <c r="M33" s="12">
        <f>L33/3300</f>
        <v>3.3303030303030301</v>
      </c>
    </row>
    <row r="34" spans="1:13" ht="20.100000000000001" customHeight="1" x14ac:dyDescent="0.4">
      <c r="A34" s="10" t="s">
        <v>20</v>
      </c>
      <c r="B34" s="17">
        <v>10</v>
      </c>
      <c r="C34" s="10" t="s">
        <v>28</v>
      </c>
      <c r="D34" s="11">
        <v>330</v>
      </c>
      <c r="E34" s="11">
        <v>110</v>
      </c>
      <c r="F34" s="11">
        <v>0</v>
      </c>
      <c r="G34" s="11">
        <v>0</v>
      </c>
      <c r="H34" s="11">
        <v>0</v>
      </c>
      <c r="I34" s="11">
        <v>140</v>
      </c>
      <c r="J34" s="11">
        <v>0</v>
      </c>
      <c r="K34" s="11">
        <v>0</v>
      </c>
      <c r="L34" s="11">
        <f t="shared" si="2"/>
        <v>580</v>
      </c>
      <c r="M34" s="12">
        <f>L34/3300</f>
        <v>0.17575757575757575</v>
      </c>
    </row>
    <row r="35" spans="1:13" ht="20.100000000000001" customHeight="1" x14ac:dyDescent="0.4">
      <c r="A35" s="10" t="s">
        <v>20</v>
      </c>
      <c r="B35" s="17">
        <v>11</v>
      </c>
      <c r="C35" s="10" t="s">
        <v>26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f t="shared" si="2"/>
        <v>0</v>
      </c>
      <c r="M35" s="12">
        <f>L35/3300</f>
        <v>0</v>
      </c>
    </row>
    <row r="36" spans="1:13" ht="20.100000000000001" customHeight="1" x14ac:dyDescent="0.4">
      <c r="A36" s="10" t="s">
        <v>20</v>
      </c>
      <c r="B36" s="17">
        <v>12</v>
      </c>
      <c r="C36" s="10" t="s">
        <v>26</v>
      </c>
      <c r="D36" s="11">
        <v>360</v>
      </c>
      <c r="E36" s="11">
        <v>160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f t="shared" si="2"/>
        <v>520</v>
      </c>
      <c r="M36" s="12">
        <f>L36/3300</f>
        <v>0.15757575757575756</v>
      </c>
    </row>
    <row r="37" spans="1:13" ht="20.100000000000001" customHeight="1" x14ac:dyDescent="0.4">
      <c r="A37" s="10" t="s">
        <v>21</v>
      </c>
      <c r="B37" s="17">
        <v>1</v>
      </c>
      <c r="C37" s="10" t="s">
        <v>26</v>
      </c>
      <c r="D37" s="11">
        <v>260</v>
      </c>
      <c r="E37" s="11">
        <v>150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f t="shared" si="2"/>
        <v>410</v>
      </c>
      <c r="M37" s="12">
        <f>L37/3300</f>
        <v>0.12424242424242424</v>
      </c>
    </row>
    <row r="38" spans="1:13" ht="20.100000000000001" customHeight="1" x14ac:dyDescent="0.4">
      <c r="A38" s="10" t="s">
        <v>21</v>
      </c>
      <c r="B38" s="17">
        <v>2</v>
      </c>
      <c r="C38" s="10" t="s">
        <v>26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f t="shared" si="2"/>
        <v>0</v>
      </c>
      <c r="M38" s="12">
        <f>L38/3300</f>
        <v>0</v>
      </c>
    </row>
    <row r="39" spans="1:13" ht="20.100000000000001" customHeight="1" x14ac:dyDescent="0.4">
      <c r="A39" s="10" t="s">
        <v>21</v>
      </c>
      <c r="B39" s="17">
        <v>3</v>
      </c>
      <c r="C39" s="10" t="s">
        <v>26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f t="shared" si="2"/>
        <v>0</v>
      </c>
      <c r="M39" s="12">
        <f>L39/3300</f>
        <v>0</v>
      </c>
    </row>
    <row r="40" spans="1:13" ht="20.100000000000001" customHeight="1" x14ac:dyDescent="0.4">
      <c r="A40" s="10" t="s">
        <v>21</v>
      </c>
      <c r="B40" s="17">
        <v>4</v>
      </c>
      <c r="C40" s="10" t="s">
        <v>26</v>
      </c>
      <c r="D40" s="11">
        <v>0</v>
      </c>
      <c r="E40" s="11">
        <v>150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f t="shared" si="2"/>
        <v>150</v>
      </c>
      <c r="M40" s="12">
        <f>L40/3300</f>
        <v>4.5454545454545456E-2</v>
      </c>
    </row>
    <row r="41" spans="1:13" ht="20.100000000000001" customHeight="1" x14ac:dyDescent="0.4">
      <c r="A41" s="10" t="s">
        <v>21</v>
      </c>
      <c r="B41" s="17">
        <v>5</v>
      </c>
      <c r="C41" s="10" t="s">
        <v>26</v>
      </c>
      <c r="D41" s="11">
        <v>570</v>
      </c>
      <c r="E41" s="11">
        <v>240</v>
      </c>
      <c r="F41" s="11">
        <v>1680</v>
      </c>
      <c r="G41" s="11">
        <v>2510</v>
      </c>
      <c r="H41" s="11">
        <v>5490</v>
      </c>
      <c r="I41" s="11">
        <v>870</v>
      </c>
      <c r="J41" s="11">
        <v>0</v>
      </c>
      <c r="K41" s="11">
        <v>0</v>
      </c>
      <c r="L41" s="11">
        <f t="shared" si="2"/>
        <v>11360</v>
      </c>
      <c r="M41" s="12">
        <f>L41/3300</f>
        <v>3.4424242424242424</v>
      </c>
    </row>
    <row r="42" spans="1:13" ht="20.100000000000001" customHeight="1" x14ac:dyDescent="0.4">
      <c r="A42" s="10" t="s">
        <v>21</v>
      </c>
      <c r="B42" s="17">
        <v>6</v>
      </c>
      <c r="C42" s="10" t="s">
        <v>29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f t="shared" si="2"/>
        <v>0</v>
      </c>
      <c r="M42" s="12">
        <f>L42/3300</f>
        <v>0</v>
      </c>
    </row>
    <row r="43" spans="1:13" ht="20.100000000000001" customHeight="1" x14ac:dyDescent="0.4">
      <c r="A43" s="10" t="s">
        <v>21</v>
      </c>
      <c r="B43" s="17">
        <v>7</v>
      </c>
      <c r="C43" s="10" t="s">
        <v>26</v>
      </c>
      <c r="D43" s="11">
        <v>0</v>
      </c>
      <c r="E43" s="11">
        <v>140</v>
      </c>
      <c r="F43" s="11">
        <v>0</v>
      </c>
      <c r="G43" s="11">
        <v>0</v>
      </c>
      <c r="H43" s="11">
        <v>0</v>
      </c>
      <c r="I43" s="11">
        <f>970+350</f>
        <v>1320</v>
      </c>
      <c r="J43" s="11">
        <v>3800</v>
      </c>
      <c r="K43" s="11">
        <v>37120</v>
      </c>
      <c r="L43" s="11">
        <f t="shared" si="2"/>
        <v>42380</v>
      </c>
      <c r="M43" s="12">
        <f>L43/3300</f>
        <v>12.842424242424242</v>
      </c>
    </row>
    <row r="44" spans="1:13" ht="20.100000000000001" customHeight="1" x14ac:dyDescent="0.4">
      <c r="A44" s="10" t="s">
        <v>21</v>
      </c>
      <c r="B44" s="17">
        <v>8</v>
      </c>
      <c r="C44" s="10" t="s">
        <v>26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f t="shared" si="2"/>
        <v>0</v>
      </c>
      <c r="M44" s="12">
        <f>L44/3300</f>
        <v>0</v>
      </c>
    </row>
    <row r="45" spans="1:13" ht="20.100000000000001" customHeight="1" x14ac:dyDescent="0.4">
      <c r="A45" s="10" t="s">
        <v>21</v>
      </c>
      <c r="B45" s="17">
        <v>9</v>
      </c>
      <c r="C45" s="10" t="s">
        <v>28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f t="shared" si="2"/>
        <v>0</v>
      </c>
      <c r="M45" s="12">
        <f>L45/3300</f>
        <v>0</v>
      </c>
    </row>
    <row r="46" spans="1:13" ht="20.100000000000001" customHeight="1" x14ac:dyDescent="0.4">
      <c r="A46" s="10" t="s">
        <v>21</v>
      </c>
      <c r="B46" s="17">
        <v>10</v>
      </c>
      <c r="C46" s="10" t="s">
        <v>27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f t="shared" si="2"/>
        <v>0</v>
      </c>
      <c r="M46" s="12">
        <f>L46/3300</f>
        <v>0</v>
      </c>
    </row>
    <row r="47" spans="1:13" ht="20.100000000000001" customHeight="1" x14ac:dyDescent="0.4">
      <c r="A47" s="10" t="s">
        <v>21</v>
      </c>
      <c r="B47" s="17">
        <v>11</v>
      </c>
      <c r="C47" s="10" t="s">
        <v>26</v>
      </c>
      <c r="D47" s="11">
        <v>0</v>
      </c>
      <c r="E47" s="11">
        <v>120</v>
      </c>
      <c r="F47" s="11">
        <v>0</v>
      </c>
      <c r="G47" s="11">
        <v>0</v>
      </c>
      <c r="H47" s="11">
        <v>0</v>
      </c>
      <c r="I47" s="11">
        <v>190</v>
      </c>
      <c r="J47" s="11">
        <v>0</v>
      </c>
      <c r="K47" s="11">
        <v>0</v>
      </c>
      <c r="L47" s="11">
        <f t="shared" ref="L47:L48" si="3">SUM(D47:K47)</f>
        <v>310</v>
      </c>
      <c r="M47" s="12">
        <f>L47/3300</f>
        <v>9.3939393939393934E-2</v>
      </c>
    </row>
    <row r="48" spans="1:13" ht="20.100000000000001" customHeight="1" x14ac:dyDescent="0.4">
      <c r="A48" s="10" t="s">
        <v>21</v>
      </c>
      <c r="B48" s="17">
        <v>12</v>
      </c>
      <c r="C48" s="10" t="s">
        <v>26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f t="shared" si="3"/>
        <v>0</v>
      </c>
      <c r="M48" s="12">
        <f>L48/3300</f>
        <v>0</v>
      </c>
    </row>
  </sheetData>
  <mergeCells count="10">
    <mergeCell ref="B10:C10"/>
    <mergeCell ref="A1:D2"/>
    <mergeCell ref="B9:C9"/>
    <mergeCell ref="B5:C5"/>
    <mergeCell ref="D11:K11"/>
    <mergeCell ref="C11:C12"/>
    <mergeCell ref="B11:B12"/>
    <mergeCell ref="A11:A12"/>
    <mergeCell ref="L11:L12"/>
    <mergeCell ref="M11:M12"/>
  </mergeCells>
  <phoneticPr fontId="1"/>
  <conditionalFormatting sqref="C13:C48">
    <cfRule type="cellIs" dxfId="29" priority="6" operator="equal">
      <formula>"本命"</formula>
    </cfRule>
    <cfRule type="cellIs" dxfId="28" priority="5" operator="equal">
      <formula>"中穴"</formula>
    </cfRule>
    <cfRule type="cellIs" dxfId="27" priority="4" operator="equal">
      <formula>"穴"</formula>
    </cfRule>
    <cfRule type="cellIs" dxfId="26" priority="3" operator="equal">
      <formula>"見送り"</formula>
    </cfRule>
  </conditionalFormatting>
  <conditionalFormatting sqref="D10:K10 M13:M48">
    <cfRule type="cellIs" dxfId="25" priority="2" operator="lessThan">
      <formula>1</formula>
    </cfRule>
    <cfRule type="cellIs" dxfId="24" priority="1" operator="greaterThanOrEqual">
      <formula>1</formula>
    </cfRule>
  </conditionalFormatting>
  <dataValidations count="2">
    <dataValidation type="list" allowBlank="1" showInputMessage="1" showErrorMessage="1" sqref="A13:A48" xr:uid="{63A2276F-CE72-48A7-9BCF-A3CE21E6860C}">
      <formula1>"東京,中山,京都,阪神,中京"</formula1>
    </dataValidation>
    <dataValidation type="list" allowBlank="1" showInputMessage="1" showErrorMessage="1" sqref="C13:C48" xr:uid="{37874472-B348-460E-91E2-EC92325B3BE6}">
      <formula1>"本命,中穴,穴,見送り"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DE9D2-BA79-45C8-839D-3FBB1829D9CE}">
  <dimension ref="A1:M48"/>
  <sheetViews>
    <sheetView workbookViewId="0">
      <pane ySplit="12" topLeftCell="A34" activePane="bottomLeft" state="frozen"/>
      <selection pane="bottomLeft" sqref="A1:D2"/>
    </sheetView>
  </sheetViews>
  <sheetFormatPr defaultRowHeight="18.75" x14ac:dyDescent="0.4"/>
  <cols>
    <col min="1" max="3" width="8.125" customWidth="1"/>
  </cols>
  <sheetData>
    <row r="1" spans="1:13" ht="19.5" thickTop="1" x14ac:dyDescent="0.4">
      <c r="A1" s="18" t="s">
        <v>22</v>
      </c>
      <c r="B1" s="18"/>
      <c r="C1" s="18"/>
      <c r="D1" s="18"/>
      <c r="F1" s="1" t="s">
        <v>25</v>
      </c>
      <c r="G1" s="2"/>
      <c r="H1" s="2"/>
      <c r="I1" s="2"/>
      <c r="J1" s="2"/>
      <c r="K1" s="2"/>
      <c r="L1" s="3"/>
    </row>
    <row r="2" spans="1:13" x14ac:dyDescent="0.4">
      <c r="A2" s="18"/>
      <c r="B2" s="18"/>
      <c r="C2" s="18"/>
      <c r="D2" s="18"/>
      <c r="F2" s="4" t="s">
        <v>12</v>
      </c>
      <c r="G2" s="5"/>
      <c r="H2" s="5"/>
      <c r="I2" s="5"/>
      <c r="J2" s="5"/>
      <c r="K2" s="5"/>
      <c r="L2" s="6"/>
    </row>
    <row r="3" spans="1:13" x14ac:dyDescent="0.4">
      <c r="F3" s="4" t="s">
        <v>13</v>
      </c>
      <c r="G3" s="5"/>
      <c r="H3" s="5"/>
      <c r="I3" s="5"/>
      <c r="J3" s="5"/>
      <c r="K3" s="5"/>
      <c r="L3" s="6"/>
    </row>
    <row r="4" spans="1:13" x14ac:dyDescent="0.4">
      <c r="A4" t="s">
        <v>30</v>
      </c>
      <c r="F4" s="4" t="s">
        <v>14</v>
      </c>
      <c r="G4" s="5"/>
      <c r="H4" s="5"/>
      <c r="I4" s="5"/>
      <c r="J4" s="5"/>
      <c r="K4" s="5"/>
      <c r="L4" s="6"/>
    </row>
    <row r="5" spans="1:13" x14ac:dyDescent="0.4">
      <c r="B5" s="37">
        <v>45658</v>
      </c>
      <c r="C5" s="37"/>
      <c r="F5" s="4" t="s">
        <v>15</v>
      </c>
      <c r="G5" s="5"/>
      <c r="H5" s="5"/>
      <c r="I5" s="5"/>
      <c r="J5" s="5"/>
      <c r="K5" s="5"/>
      <c r="L5" s="6"/>
    </row>
    <row r="6" spans="1:13" x14ac:dyDescent="0.4">
      <c r="F6" s="4" t="s">
        <v>16</v>
      </c>
      <c r="G6" s="5"/>
      <c r="H6" s="5"/>
      <c r="I6" s="5"/>
      <c r="J6" s="5"/>
      <c r="K6" s="5"/>
      <c r="L6" s="6"/>
    </row>
    <row r="7" spans="1:13" ht="19.5" thickBot="1" x14ac:dyDescent="0.45">
      <c r="F7" s="7" t="s">
        <v>31</v>
      </c>
      <c r="G7" s="8"/>
      <c r="H7" s="8"/>
      <c r="I7" s="8"/>
      <c r="J7" s="8"/>
      <c r="K7" s="8"/>
      <c r="L7" s="9"/>
    </row>
    <row r="8" spans="1:13" ht="9.9499999999999993" customHeight="1" thickTop="1" thickBot="1" x14ac:dyDescent="0.45">
      <c r="F8" s="5"/>
      <c r="G8" s="5"/>
      <c r="H8" s="5"/>
      <c r="I8" s="5"/>
      <c r="J8" s="5"/>
      <c r="K8" s="5"/>
      <c r="L8" s="5"/>
    </row>
    <row r="9" spans="1:13" ht="20.100000000000001" customHeight="1" x14ac:dyDescent="0.4">
      <c r="B9" s="25" t="s">
        <v>23</v>
      </c>
      <c r="C9" s="26"/>
      <c r="D9" s="19">
        <f>SUM(D13:D48)</f>
        <v>0</v>
      </c>
      <c r="E9" s="20">
        <f t="shared" ref="E9:K9" si="0">SUM(E13:E48)</f>
        <v>0</v>
      </c>
      <c r="F9" s="20">
        <f t="shared" si="0"/>
        <v>0</v>
      </c>
      <c r="G9" s="20">
        <f t="shared" si="0"/>
        <v>0</v>
      </c>
      <c r="H9" s="20">
        <f t="shared" si="0"/>
        <v>0</v>
      </c>
      <c r="I9" s="20">
        <f t="shared" si="0"/>
        <v>0</v>
      </c>
      <c r="J9" s="20">
        <f t="shared" si="0"/>
        <v>0</v>
      </c>
      <c r="K9" s="21">
        <f t="shared" si="0"/>
        <v>0</v>
      </c>
      <c r="L9" s="5"/>
    </row>
    <row r="10" spans="1:13" ht="20.100000000000001" customHeight="1" thickBot="1" x14ac:dyDescent="0.45">
      <c r="B10" s="27" t="s">
        <v>24</v>
      </c>
      <c r="C10" s="28"/>
      <c r="D10" s="22">
        <f>D9/3600</f>
        <v>0</v>
      </c>
      <c r="E10" s="23">
        <f>E9/3600</f>
        <v>0</v>
      </c>
      <c r="F10" s="23">
        <f>F9/(3600*3)</f>
        <v>0</v>
      </c>
      <c r="G10" s="23">
        <f>G9/(3600*3)</f>
        <v>0</v>
      </c>
      <c r="H10" s="23">
        <f>H9/(3600*6)</f>
        <v>0</v>
      </c>
      <c r="I10" s="23">
        <f>I9/(3600*2)</f>
        <v>0</v>
      </c>
      <c r="J10" s="23">
        <f>J9/(3600*3)</f>
        <v>0</v>
      </c>
      <c r="K10" s="24">
        <f>K9/(3600*18)</f>
        <v>0</v>
      </c>
    </row>
    <row r="11" spans="1:13" ht="20.100000000000001" customHeight="1" x14ac:dyDescent="0.4">
      <c r="A11" s="29" t="s">
        <v>10</v>
      </c>
      <c r="B11" s="30" t="s">
        <v>9</v>
      </c>
      <c r="C11" s="30" t="s">
        <v>11</v>
      </c>
      <c r="D11" s="31" t="s">
        <v>8</v>
      </c>
      <c r="E11" s="31"/>
      <c r="F11" s="31"/>
      <c r="G11" s="31"/>
      <c r="H11" s="31"/>
      <c r="I11" s="31"/>
      <c r="J11" s="31"/>
      <c r="K11" s="31"/>
      <c r="L11" s="31" t="s">
        <v>17</v>
      </c>
      <c r="M11" s="32" t="s">
        <v>18</v>
      </c>
    </row>
    <row r="12" spans="1:13" ht="20.100000000000001" customHeight="1" thickBot="1" x14ac:dyDescent="0.45">
      <c r="A12" s="33"/>
      <c r="B12" s="34"/>
      <c r="C12" s="34"/>
      <c r="D12" s="35" t="s">
        <v>0</v>
      </c>
      <c r="E12" s="35" t="s">
        <v>1</v>
      </c>
      <c r="F12" s="35" t="s">
        <v>2</v>
      </c>
      <c r="G12" s="35" t="s">
        <v>3</v>
      </c>
      <c r="H12" s="35" t="s">
        <v>4</v>
      </c>
      <c r="I12" s="35" t="s">
        <v>5</v>
      </c>
      <c r="J12" s="35" t="s">
        <v>7</v>
      </c>
      <c r="K12" s="35" t="s">
        <v>6</v>
      </c>
      <c r="L12" s="34"/>
      <c r="M12" s="36"/>
    </row>
    <row r="13" spans="1:13" ht="20.100000000000001" customHeight="1" x14ac:dyDescent="0.4">
      <c r="A13" s="15" t="s">
        <v>19</v>
      </c>
      <c r="B13" s="16">
        <v>1</v>
      </c>
      <c r="C13" s="15"/>
      <c r="D13" s="13"/>
      <c r="E13" s="13"/>
      <c r="F13" s="13"/>
      <c r="G13" s="13"/>
      <c r="H13" s="13"/>
      <c r="I13" s="13"/>
      <c r="J13" s="13"/>
      <c r="K13" s="13"/>
      <c r="L13" s="13">
        <f>SUM(D13:K13)</f>
        <v>0</v>
      </c>
      <c r="M13" s="14">
        <f>L13/3300</f>
        <v>0</v>
      </c>
    </row>
    <row r="14" spans="1:13" ht="20.100000000000001" customHeight="1" x14ac:dyDescent="0.4">
      <c r="A14" s="15" t="s">
        <v>19</v>
      </c>
      <c r="B14" s="17">
        <v>2</v>
      </c>
      <c r="C14" s="10"/>
      <c r="D14" s="11"/>
      <c r="E14" s="11"/>
      <c r="F14" s="11"/>
      <c r="G14" s="11"/>
      <c r="H14" s="11"/>
      <c r="I14" s="11"/>
      <c r="J14" s="11"/>
      <c r="K14" s="11"/>
      <c r="L14" s="11">
        <f t="shared" ref="L14:L48" si="1">SUM(D14:K14)</f>
        <v>0</v>
      </c>
      <c r="M14" s="12">
        <f>L14/3300</f>
        <v>0</v>
      </c>
    </row>
    <row r="15" spans="1:13" ht="20.100000000000001" customHeight="1" x14ac:dyDescent="0.4">
      <c r="A15" s="15" t="s">
        <v>19</v>
      </c>
      <c r="B15" s="17">
        <v>3</v>
      </c>
      <c r="C15" s="10"/>
      <c r="D15" s="11"/>
      <c r="E15" s="11"/>
      <c r="F15" s="11"/>
      <c r="G15" s="11"/>
      <c r="H15" s="11"/>
      <c r="I15" s="11"/>
      <c r="J15" s="11"/>
      <c r="K15" s="11"/>
      <c r="L15" s="11">
        <f t="shared" si="1"/>
        <v>0</v>
      </c>
      <c r="M15" s="12">
        <f>L15/3300</f>
        <v>0</v>
      </c>
    </row>
    <row r="16" spans="1:13" ht="20.100000000000001" customHeight="1" x14ac:dyDescent="0.4">
      <c r="A16" s="15" t="s">
        <v>19</v>
      </c>
      <c r="B16" s="17">
        <v>4</v>
      </c>
      <c r="C16" s="10"/>
      <c r="D16" s="11"/>
      <c r="E16" s="11"/>
      <c r="F16" s="11"/>
      <c r="G16" s="11"/>
      <c r="H16" s="11"/>
      <c r="I16" s="11"/>
      <c r="J16" s="11"/>
      <c r="K16" s="11"/>
      <c r="L16" s="11">
        <f t="shared" si="1"/>
        <v>0</v>
      </c>
      <c r="M16" s="12">
        <f>L16/3300</f>
        <v>0</v>
      </c>
    </row>
    <row r="17" spans="1:13" ht="20.100000000000001" customHeight="1" x14ac:dyDescent="0.4">
      <c r="A17" s="15" t="s">
        <v>19</v>
      </c>
      <c r="B17" s="17">
        <v>5</v>
      </c>
      <c r="C17" s="10"/>
      <c r="D17" s="11"/>
      <c r="E17" s="11"/>
      <c r="F17" s="11"/>
      <c r="G17" s="11"/>
      <c r="H17" s="11"/>
      <c r="I17" s="11"/>
      <c r="J17" s="11"/>
      <c r="K17" s="11"/>
      <c r="L17" s="11">
        <f t="shared" si="1"/>
        <v>0</v>
      </c>
      <c r="M17" s="12">
        <f>L17/3300</f>
        <v>0</v>
      </c>
    </row>
    <row r="18" spans="1:13" ht="20.100000000000001" customHeight="1" x14ac:dyDescent="0.4">
      <c r="A18" s="15" t="s">
        <v>19</v>
      </c>
      <c r="B18" s="17">
        <v>6</v>
      </c>
      <c r="C18" s="10"/>
      <c r="D18" s="11"/>
      <c r="E18" s="11"/>
      <c r="F18" s="11"/>
      <c r="G18" s="11"/>
      <c r="H18" s="11"/>
      <c r="I18" s="11"/>
      <c r="J18" s="11"/>
      <c r="K18" s="11"/>
      <c r="L18" s="11">
        <f t="shared" si="1"/>
        <v>0</v>
      </c>
      <c r="M18" s="12">
        <f>L18/3300</f>
        <v>0</v>
      </c>
    </row>
    <row r="19" spans="1:13" ht="20.100000000000001" customHeight="1" x14ac:dyDescent="0.4">
      <c r="A19" s="15" t="s">
        <v>19</v>
      </c>
      <c r="B19" s="17">
        <v>7</v>
      </c>
      <c r="C19" s="10"/>
      <c r="D19" s="11"/>
      <c r="E19" s="11"/>
      <c r="F19" s="11"/>
      <c r="G19" s="11"/>
      <c r="H19" s="11"/>
      <c r="I19" s="11"/>
      <c r="J19" s="11"/>
      <c r="K19" s="11"/>
      <c r="L19" s="11">
        <f t="shared" si="1"/>
        <v>0</v>
      </c>
      <c r="M19" s="12">
        <f>L19/3300</f>
        <v>0</v>
      </c>
    </row>
    <row r="20" spans="1:13" ht="20.100000000000001" customHeight="1" x14ac:dyDescent="0.4">
      <c r="A20" s="15" t="s">
        <v>19</v>
      </c>
      <c r="B20" s="17">
        <v>8</v>
      </c>
      <c r="C20" s="10"/>
      <c r="D20" s="11"/>
      <c r="E20" s="11"/>
      <c r="F20" s="11"/>
      <c r="G20" s="11"/>
      <c r="H20" s="11"/>
      <c r="I20" s="11"/>
      <c r="J20" s="11"/>
      <c r="K20" s="11"/>
      <c r="L20" s="11">
        <f t="shared" si="1"/>
        <v>0</v>
      </c>
      <c r="M20" s="12">
        <f>L20/3300</f>
        <v>0</v>
      </c>
    </row>
    <row r="21" spans="1:13" ht="20.100000000000001" customHeight="1" x14ac:dyDescent="0.4">
      <c r="A21" s="15" t="s">
        <v>19</v>
      </c>
      <c r="B21" s="17">
        <v>9</v>
      </c>
      <c r="C21" s="10"/>
      <c r="D21" s="11"/>
      <c r="E21" s="11"/>
      <c r="F21" s="11"/>
      <c r="G21" s="11"/>
      <c r="H21" s="11"/>
      <c r="I21" s="11"/>
      <c r="J21" s="11"/>
      <c r="K21" s="11"/>
      <c r="L21" s="11">
        <f t="shared" si="1"/>
        <v>0</v>
      </c>
      <c r="M21" s="12">
        <f>L21/3300</f>
        <v>0</v>
      </c>
    </row>
    <row r="22" spans="1:13" ht="20.100000000000001" customHeight="1" x14ac:dyDescent="0.4">
      <c r="A22" s="15" t="s">
        <v>19</v>
      </c>
      <c r="B22" s="17">
        <v>10</v>
      </c>
      <c r="C22" s="10"/>
      <c r="D22" s="11"/>
      <c r="E22" s="11"/>
      <c r="F22" s="11"/>
      <c r="G22" s="11"/>
      <c r="H22" s="11"/>
      <c r="I22" s="11"/>
      <c r="J22" s="11"/>
      <c r="K22" s="11"/>
      <c r="L22" s="11">
        <f t="shared" si="1"/>
        <v>0</v>
      </c>
      <c r="M22" s="12">
        <f>L22/3300</f>
        <v>0</v>
      </c>
    </row>
    <row r="23" spans="1:13" ht="20.100000000000001" customHeight="1" x14ac:dyDescent="0.4">
      <c r="A23" s="15" t="s">
        <v>19</v>
      </c>
      <c r="B23" s="17">
        <v>11</v>
      </c>
      <c r="C23" s="10"/>
      <c r="D23" s="11"/>
      <c r="E23" s="11"/>
      <c r="F23" s="11"/>
      <c r="G23" s="11"/>
      <c r="H23" s="11"/>
      <c r="I23" s="11"/>
      <c r="J23" s="11"/>
      <c r="K23" s="11"/>
      <c r="L23" s="11">
        <f t="shared" si="1"/>
        <v>0</v>
      </c>
      <c r="M23" s="12">
        <f>L23/3300</f>
        <v>0</v>
      </c>
    </row>
    <row r="24" spans="1:13" ht="20.100000000000001" customHeight="1" x14ac:dyDescent="0.4">
      <c r="A24" s="15" t="s">
        <v>19</v>
      </c>
      <c r="B24" s="17">
        <v>12</v>
      </c>
      <c r="C24" s="10"/>
      <c r="D24" s="11"/>
      <c r="E24" s="11"/>
      <c r="F24" s="11"/>
      <c r="G24" s="11"/>
      <c r="H24" s="11"/>
      <c r="I24" s="11"/>
      <c r="J24" s="11"/>
      <c r="K24" s="11"/>
      <c r="L24" s="11">
        <f t="shared" si="1"/>
        <v>0</v>
      </c>
      <c r="M24" s="12">
        <f>L24/3300</f>
        <v>0</v>
      </c>
    </row>
    <row r="25" spans="1:13" ht="20.100000000000001" customHeight="1" x14ac:dyDescent="0.4">
      <c r="A25" s="10" t="s">
        <v>20</v>
      </c>
      <c r="B25" s="16">
        <v>1</v>
      </c>
      <c r="C25" s="10"/>
      <c r="D25" s="11"/>
      <c r="E25" s="11"/>
      <c r="F25" s="11"/>
      <c r="G25" s="11"/>
      <c r="H25" s="11"/>
      <c r="I25" s="11"/>
      <c r="J25" s="11"/>
      <c r="K25" s="11"/>
      <c r="L25" s="11">
        <f t="shared" si="1"/>
        <v>0</v>
      </c>
      <c r="M25" s="12">
        <f>L25/3300</f>
        <v>0</v>
      </c>
    </row>
    <row r="26" spans="1:13" ht="20.100000000000001" customHeight="1" x14ac:dyDescent="0.4">
      <c r="A26" s="10" t="s">
        <v>20</v>
      </c>
      <c r="B26" s="17">
        <v>2</v>
      </c>
      <c r="C26" s="10"/>
      <c r="D26" s="11"/>
      <c r="E26" s="11"/>
      <c r="F26" s="11"/>
      <c r="G26" s="11"/>
      <c r="H26" s="11"/>
      <c r="I26" s="11"/>
      <c r="J26" s="11"/>
      <c r="K26" s="11"/>
      <c r="L26" s="11">
        <f t="shared" si="1"/>
        <v>0</v>
      </c>
      <c r="M26" s="12">
        <f>L26/3300</f>
        <v>0</v>
      </c>
    </row>
    <row r="27" spans="1:13" ht="20.100000000000001" customHeight="1" x14ac:dyDescent="0.4">
      <c r="A27" s="10" t="s">
        <v>20</v>
      </c>
      <c r="B27" s="17">
        <v>3</v>
      </c>
      <c r="C27" s="10"/>
      <c r="D27" s="11"/>
      <c r="E27" s="11"/>
      <c r="F27" s="11"/>
      <c r="G27" s="11"/>
      <c r="H27" s="11"/>
      <c r="I27" s="11"/>
      <c r="J27" s="11"/>
      <c r="K27" s="11"/>
      <c r="L27" s="11">
        <f t="shared" si="1"/>
        <v>0</v>
      </c>
      <c r="M27" s="12">
        <f>L27/3300</f>
        <v>0</v>
      </c>
    </row>
    <row r="28" spans="1:13" ht="20.100000000000001" customHeight="1" x14ac:dyDescent="0.4">
      <c r="A28" s="10" t="s">
        <v>20</v>
      </c>
      <c r="B28" s="17">
        <v>4</v>
      </c>
      <c r="C28" s="10"/>
      <c r="D28" s="11"/>
      <c r="E28" s="11"/>
      <c r="F28" s="11"/>
      <c r="G28" s="11"/>
      <c r="H28" s="11"/>
      <c r="I28" s="11"/>
      <c r="J28" s="11"/>
      <c r="K28" s="11"/>
      <c r="L28" s="11">
        <f t="shared" si="1"/>
        <v>0</v>
      </c>
      <c r="M28" s="12">
        <f>L28/3300</f>
        <v>0</v>
      </c>
    </row>
    <row r="29" spans="1:13" ht="20.100000000000001" customHeight="1" x14ac:dyDescent="0.4">
      <c r="A29" s="10" t="s">
        <v>20</v>
      </c>
      <c r="B29" s="17">
        <v>5</v>
      </c>
      <c r="C29" s="10"/>
      <c r="D29" s="11"/>
      <c r="E29" s="11"/>
      <c r="F29" s="11"/>
      <c r="G29" s="11"/>
      <c r="H29" s="11"/>
      <c r="I29" s="11"/>
      <c r="J29" s="11"/>
      <c r="K29" s="11"/>
      <c r="L29" s="11">
        <f t="shared" si="1"/>
        <v>0</v>
      </c>
      <c r="M29" s="12">
        <f>L29/3300</f>
        <v>0</v>
      </c>
    </row>
    <row r="30" spans="1:13" ht="20.100000000000001" customHeight="1" x14ac:dyDescent="0.4">
      <c r="A30" s="10" t="s">
        <v>20</v>
      </c>
      <c r="B30" s="17">
        <v>6</v>
      </c>
      <c r="C30" s="10"/>
      <c r="D30" s="11"/>
      <c r="E30" s="11"/>
      <c r="F30" s="11"/>
      <c r="G30" s="11"/>
      <c r="H30" s="11"/>
      <c r="I30" s="11"/>
      <c r="J30" s="11"/>
      <c r="K30" s="11"/>
      <c r="L30" s="11">
        <f t="shared" si="1"/>
        <v>0</v>
      </c>
      <c r="M30" s="12">
        <f>L30/3300</f>
        <v>0</v>
      </c>
    </row>
    <row r="31" spans="1:13" ht="20.100000000000001" customHeight="1" x14ac:dyDescent="0.4">
      <c r="A31" s="10" t="s">
        <v>20</v>
      </c>
      <c r="B31" s="17">
        <v>7</v>
      </c>
      <c r="C31" s="10"/>
      <c r="D31" s="11"/>
      <c r="E31" s="11"/>
      <c r="F31" s="11"/>
      <c r="G31" s="11"/>
      <c r="H31" s="11"/>
      <c r="I31" s="11"/>
      <c r="J31" s="11"/>
      <c r="K31" s="11"/>
      <c r="L31" s="11">
        <f t="shared" si="1"/>
        <v>0</v>
      </c>
      <c r="M31" s="12">
        <f>L31/3300</f>
        <v>0</v>
      </c>
    </row>
    <row r="32" spans="1:13" ht="20.100000000000001" customHeight="1" x14ac:dyDescent="0.4">
      <c r="A32" s="10" t="s">
        <v>20</v>
      </c>
      <c r="B32" s="17">
        <v>8</v>
      </c>
      <c r="C32" s="10"/>
      <c r="D32" s="11"/>
      <c r="E32" s="11"/>
      <c r="F32" s="11"/>
      <c r="G32" s="11"/>
      <c r="H32" s="11"/>
      <c r="I32" s="11"/>
      <c r="J32" s="11"/>
      <c r="K32" s="11"/>
      <c r="L32" s="11">
        <f t="shared" si="1"/>
        <v>0</v>
      </c>
      <c r="M32" s="12">
        <f>L32/3300</f>
        <v>0</v>
      </c>
    </row>
    <row r="33" spans="1:13" ht="20.100000000000001" customHeight="1" x14ac:dyDescent="0.4">
      <c r="A33" s="10" t="s">
        <v>20</v>
      </c>
      <c r="B33" s="17">
        <v>9</v>
      </c>
      <c r="C33" s="10"/>
      <c r="D33" s="11"/>
      <c r="E33" s="11"/>
      <c r="F33" s="11"/>
      <c r="G33" s="11"/>
      <c r="H33" s="11"/>
      <c r="I33" s="11"/>
      <c r="J33" s="11"/>
      <c r="K33" s="11"/>
      <c r="L33" s="11">
        <f t="shared" si="1"/>
        <v>0</v>
      </c>
      <c r="M33" s="12">
        <f>L33/3300</f>
        <v>0</v>
      </c>
    </row>
    <row r="34" spans="1:13" ht="20.100000000000001" customHeight="1" x14ac:dyDescent="0.4">
      <c r="A34" s="10" t="s">
        <v>20</v>
      </c>
      <c r="B34" s="17">
        <v>10</v>
      </c>
      <c r="C34" s="10"/>
      <c r="D34" s="11"/>
      <c r="E34" s="11"/>
      <c r="F34" s="11"/>
      <c r="G34" s="11"/>
      <c r="H34" s="11"/>
      <c r="I34" s="11"/>
      <c r="J34" s="11"/>
      <c r="K34" s="11"/>
      <c r="L34" s="11">
        <f t="shared" si="1"/>
        <v>0</v>
      </c>
      <c r="M34" s="12">
        <f>L34/3300</f>
        <v>0</v>
      </c>
    </row>
    <row r="35" spans="1:13" ht="20.100000000000001" customHeight="1" x14ac:dyDescent="0.4">
      <c r="A35" s="10" t="s">
        <v>20</v>
      </c>
      <c r="B35" s="17">
        <v>11</v>
      </c>
      <c r="C35" s="10"/>
      <c r="D35" s="11"/>
      <c r="E35" s="11"/>
      <c r="F35" s="11"/>
      <c r="G35" s="11"/>
      <c r="H35" s="11"/>
      <c r="I35" s="11"/>
      <c r="J35" s="11"/>
      <c r="K35" s="11"/>
      <c r="L35" s="11">
        <f t="shared" si="1"/>
        <v>0</v>
      </c>
      <c r="M35" s="12">
        <f>L35/3300</f>
        <v>0</v>
      </c>
    </row>
    <row r="36" spans="1:13" ht="20.100000000000001" customHeight="1" x14ac:dyDescent="0.4">
      <c r="A36" s="10" t="s">
        <v>20</v>
      </c>
      <c r="B36" s="17">
        <v>12</v>
      </c>
      <c r="C36" s="10"/>
      <c r="D36" s="11"/>
      <c r="E36" s="11"/>
      <c r="F36" s="11"/>
      <c r="G36" s="11"/>
      <c r="H36" s="11"/>
      <c r="I36" s="11"/>
      <c r="J36" s="11"/>
      <c r="K36" s="11"/>
      <c r="L36" s="11">
        <f t="shared" si="1"/>
        <v>0</v>
      </c>
      <c r="M36" s="12">
        <f>L36/3300</f>
        <v>0</v>
      </c>
    </row>
    <row r="37" spans="1:13" ht="20.100000000000001" customHeight="1" x14ac:dyDescent="0.4">
      <c r="A37" s="10" t="s">
        <v>21</v>
      </c>
      <c r="B37" s="17">
        <v>1</v>
      </c>
      <c r="C37" s="10"/>
      <c r="D37" s="11"/>
      <c r="E37" s="11"/>
      <c r="F37" s="11"/>
      <c r="G37" s="11"/>
      <c r="H37" s="11"/>
      <c r="I37" s="11"/>
      <c r="J37" s="11"/>
      <c r="K37" s="11"/>
      <c r="L37" s="11">
        <f t="shared" si="1"/>
        <v>0</v>
      </c>
      <c r="M37" s="12">
        <f>L37/3300</f>
        <v>0</v>
      </c>
    </row>
    <row r="38" spans="1:13" ht="20.100000000000001" customHeight="1" x14ac:dyDescent="0.4">
      <c r="A38" s="10" t="s">
        <v>21</v>
      </c>
      <c r="B38" s="17">
        <v>2</v>
      </c>
      <c r="C38" s="10"/>
      <c r="D38" s="11"/>
      <c r="E38" s="11"/>
      <c r="F38" s="11"/>
      <c r="G38" s="11"/>
      <c r="H38" s="11"/>
      <c r="I38" s="11"/>
      <c r="J38" s="11"/>
      <c r="K38" s="11"/>
      <c r="L38" s="11">
        <f t="shared" si="1"/>
        <v>0</v>
      </c>
      <c r="M38" s="12">
        <f>L38/3300</f>
        <v>0</v>
      </c>
    </row>
    <row r="39" spans="1:13" ht="20.100000000000001" customHeight="1" x14ac:dyDescent="0.4">
      <c r="A39" s="10" t="s">
        <v>21</v>
      </c>
      <c r="B39" s="17">
        <v>3</v>
      </c>
      <c r="C39" s="10"/>
      <c r="D39" s="11"/>
      <c r="E39" s="11"/>
      <c r="F39" s="11"/>
      <c r="G39" s="11"/>
      <c r="H39" s="11"/>
      <c r="I39" s="11"/>
      <c r="J39" s="11"/>
      <c r="K39" s="11"/>
      <c r="L39" s="11">
        <f t="shared" si="1"/>
        <v>0</v>
      </c>
      <c r="M39" s="12">
        <f>L39/3300</f>
        <v>0</v>
      </c>
    </row>
    <row r="40" spans="1:13" ht="20.100000000000001" customHeight="1" x14ac:dyDescent="0.4">
      <c r="A40" s="10" t="s">
        <v>21</v>
      </c>
      <c r="B40" s="17">
        <v>4</v>
      </c>
      <c r="C40" s="10"/>
      <c r="D40" s="11"/>
      <c r="E40" s="11"/>
      <c r="F40" s="11"/>
      <c r="G40" s="11"/>
      <c r="H40" s="11"/>
      <c r="I40" s="11"/>
      <c r="J40" s="11"/>
      <c r="K40" s="11"/>
      <c r="L40" s="11">
        <f t="shared" si="1"/>
        <v>0</v>
      </c>
      <c r="M40" s="12">
        <f>L40/3300</f>
        <v>0</v>
      </c>
    </row>
    <row r="41" spans="1:13" ht="20.100000000000001" customHeight="1" x14ac:dyDescent="0.4">
      <c r="A41" s="10" t="s">
        <v>21</v>
      </c>
      <c r="B41" s="17">
        <v>5</v>
      </c>
      <c r="C41" s="10"/>
      <c r="D41" s="11"/>
      <c r="E41" s="11"/>
      <c r="F41" s="11"/>
      <c r="G41" s="11"/>
      <c r="H41" s="11"/>
      <c r="I41" s="11"/>
      <c r="J41" s="11"/>
      <c r="K41" s="11"/>
      <c r="L41" s="11">
        <f t="shared" si="1"/>
        <v>0</v>
      </c>
      <c r="M41" s="12">
        <f>L41/3300</f>
        <v>0</v>
      </c>
    </row>
    <row r="42" spans="1:13" ht="20.100000000000001" customHeight="1" x14ac:dyDescent="0.4">
      <c r="A42" s="10" t="s">
        <v>21</v>
      </c>
      <c r="B42" s="17">
        <v>6</v>
      </c>
      <c r="C42" s="10"/>
      <c r="D42" s="11"/>
      <c r="E42" s="11"/>
      <c r="F42" s="11"/>
      <c r="G42" s="11"/>
      <c r="H42" s="11"/>
      <c r="I42" s="11"/>
      <c r="J42" s="11"/>
      <c r="K42" s="11"/>
      <c r="L42" s="11">
        <f t="shared" si="1"/>
        <v>0</v>
      </c>
      <c r="M42" s="12">
        <f>L42/3300</f>
        <v>0</v>
      </c>
    </row>
    <row r="43" spans="1:13" ht="20.100000000000001" customHeight="1" x14ac:dyDescent="0.4">
      <c r="A43" s="10" t="s">
        <v>21</v>
      </c>
      <c r="B43" s="17">
        <v>7</v>
      </c>
      <c r="C43" s="10"/>
      <c r="D43" s="11"/>
      <c r="E43" s="11"/>
      <c r="F43" s="11"/>
      <c r="G43" s="11"/>
      <c r="H43" s="11"/>
      <c r="I43" s="11"/>
      <c r="J43" s="11"/>
      <c r="K43" s="11"/>
      <c r="L43" s="11">
        <f t="shared" si="1"/>
        <v>0</v>
      </c>
      <c r="M43" s="12">
        <f>L43/3300</f>
        <v>0</v>
      </c>
    </row>
    <row r="44" spans="1:13" ht="20.100000000000001" customHeight="1" x14ac:dyDescent="0.4">
      <c r="A44" s="10" t="s">
        <v>21</v>
      </c>
      <c r="B44" s="17">
        <v>8</v>
      </c>
      <c r="C44" s="10"/>
      <c r="D44" s="11"/>
      <c r="E44" s="11"/>
      <c r="F44" s="11"/>
      <c r="G44" s="11"/>
      <c r="H44" s="11"/>
      <c r="I44" s="11"/>
      <c r="J44" s="11"/>
      <c r="K44" s="11"/>
      <c r="L44" s="11">
        <f t="shared" si="1"/>
        <v>0</v>
      </c>
      <c r="M44" s="12">
        <f>L44/3300</f>
        <v>0</v>
      </c>
    </row>
    <row r="45" spans="1:13" ht="20.100000000000001" customHeight="1" x14ac:dyDescent="0.4">
      <c r="A45" s="10" t="s">
        <v>21</v>
      </c>
      <c r="B45" s="17">
        <v>9</v>
      </c>
      <c r="C45" s="10"/>
      <c r="D45" s="11"/>
      <c r="E45" s="11"/>
      <c r="F45" s="11"/>
      <c r="G45" s="11"/>
      <c r="H45" s="11"/>
      <c r="I45" s="11"/>
      <c r="J45" s="11"/>
      <c r="K45" s="11"/>
      <c r="L45" s="11">
        <f t="shared" si="1"/>
        <v>0</v>
      </c>
      <c r="M45" s="12">
        <f>L45/3300</f>
        <v>0</v>
      </c>
    </row>
    <row r="46" spans="1:13" ht="20.100000000000001" customHeight="1" x14ac:dyDescent="0.4">
      <c r="A46" s="10" t="s">
        <v>21</v>
      </c>
      <c r="B46" s="17">
        <v>10</v>
      </c>
      <c r="C46" s="10"/>
      <c r="D46" s="11"/>
      <c r="E46" s="11"/>
      <c r="F46" s="11"/>
      <c r="G46" s="11"/>
      <c r="H46" s="11"/>
      <c r="I46" s="11"/>
      <c r="J46" s="11"/>
      <c r="K46" s="11"/>
      <c r="L46" s="11">
        <f t="shared" si="1"/>
        <v>0</v>
      </c>
      <c r="M46" s="12">
        <f>L46/3300</f>
        <v>0</v>
      </c>
    </row>
    <row r="47" spans="1:13" ht="20.100000000000001" customHeight="1" x14ac:dyDescent="0.4">
      <c r="A47" s="10" t="s">
        <v>21</v>
      </c>
      <c r="B47" s="17">
        <v>11</v>
      </c>
      <c r="C47" s="10"/>
      <c r="D47" s="11"/>
      <c r="E47" s="11"/>
      <c r="F47" s="11"/>
      <c r="G47" s="11"/>
      <c r="H47" s="11"/>
      <c r="I47" s="11"/>
      <c r="J47" s="11"/>
      <c r="K47" s="11"/>
      <c r="L47" s="11">
        <f t="shared" si="1"/>
        <v>0</v>
      </c>
      <c r="M47" s="12">
        <f>L47/3300</f>
        <v>0</v>
      </c>
    </row>
    <row r="48" spans="1:13" ht="20.100000000000001" customHeight="1" x14ac:dyDescent="0.4">
      <c r="A48" s="10" t="s">
        <v>21</v>
      </c>
      <c r="B48" s="17">
        <v>12</v>
      </c>
      <c r="C48" s="10"/>
      <c r="D48" s="11"/>
      <c r="E48" s="11"/>
      <c r="F48" s="11"/>
      <c r="G48" s="11"/>
      <c r="H48" s="11"/>
      <c r="I48" s="11"/>
      <c r="J48" s="11"/>
      <c r="K48" s="11"/>
      <c r="L48" s="11">
        <f t="shared" si="1"/>
        <v>0</v>
      </c>
      <c r="M48" s="12">
        <f>L48/3300</f>
        <v>0</v>
      </c>
    </row>
  </sheetData>
  <mergeCells count="10">
    <mergeCell ref="L11:L12"/>
    <mergeCell ref="M11:M12"/>
    <mergeCell ref="B5:C5"/>
    <mergeCell ref="A1:D2"/>
    <mergeCell ref="B9:C9"/>
    <mergeCell ref="B10:C10"/>
    <mergeCell ref="A11:A12"/>
    <mergeCell ref="B11:B12"/>
    <mergeCell ref="C11:C12"/>
    <mergeCell ref="D11:K11"/>
  </mergeCells>
  <phoneticPr fontId="1"/>
  <conditionalFormatting sqref="C13:C48">
    <cfRule type="cellIs" dxfId="23" priority="5" operator="equal">
      <formula>"見送り"</formula>
    </cfRule>
    <cfRule type="cellIs" dxfId="22" priority="6" operator="equal">
      <formula>"穴"</formula>
    </cfRule>
    <cfRule type="cellIs" dxfId="21" priority="7" operator="equal">
      <formula>"中穴"</formula>
    </cfRule>
    <cfRule type="cellIs" dxfId="20" priority="8" operator="equal">
      <formula>"本命"</formula>
    </cfRule>
  </conditionalFormatting>
  <conditionalFormatting sqref="M13:M48">
    <cfRule type="cellIs" dxfId="19" priority="3" operator="greaterThanOrEqual">
      <formula>100</formula>
    </cfRule>
    <cfRule type="cellIs" dxfId="18" priority="4" operator="lessThan">
      <formula>100</formula>
    </cfRule>
  </conditionalFormatting>
  <conditionalFormatting sqref="D10:K10">
    <cfRule type="cellIs" dxfId="16" priority="1" operator="greaterThanOrEqual">
      <formula>1</formula>
    </cfRule>
    <cfRule type="cellIs" dxfId="17" priority="2" operator="lessThan">
      <formula>1</formula>
    </cfRule>
  </conditionalFormatting>
  <dataValidations count="2">
    <dataValidation type="list" allowBlank="1" showInputMessage="1" showErrorMessage="1" sqref="C13:C48" xr:uid="{CEF3B8C9-E41E-49CD-9A44-8659FFE183BF}">
      <formula1>"本命,中穴,穴,見送り"</formula1>
    </dataValidation>
    <dataValidation type="list" allowBlank="1" showInputMessage="1" showErrorMessage="1" sqref="A13:A48" xr:uid="{1FFF9443-1004-4085-B97A-2A85E008F027}">
      <formula1>"東京,中山,京都,阪神,中京"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検証-3</vt:lpstr>
      <vt:lpstr>検証-2</vt:lpstr>
      <vt:lpstr>検証-1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菊池 将元</dc:creator>
  <cp:lastModifiedBy>菊池 将元</cp:lastModifiedBy>
  <dcterms:created xsi:type="dcterms:W3CDTF">2025-12-25T02:44:21Z</dcterms:created>
  <dcterms:modified xsi:type="dcterms:W3CDTF">2025-12-25T06:35:10Z</dcterms:modified>
</cp:coreProperties>
</file>